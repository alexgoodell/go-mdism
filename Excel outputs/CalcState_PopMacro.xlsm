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720" yWindow="630" windowWidth="19635" windowHeight="7410" activeTab="1"/>
  </bookViews>
  <sheets>
    <sheet name="Disease prevalence" sheetId="1" r:id="rId1"/>
    <sheet name="Age distribution" sheetId="2" r:id="rId2"/>
    <sheet name="Risk factor distributions" sheetId="3" r:id="rId3"/>
  </sheets>
  <calcPr calcId="145621" calcMode="manual"/>
</workbook>
</file>

<file path=xl/calcChain.xml><?xml version="1.0" encoding="utf-8"?>
<calcChain xmlns="http://schemas.openxmlformats.org/spreadsheetml/2006/main">
  <c r="G15" i="1" l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F15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G22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T32" i="1" s="1"/>
  <c r="U35" i="1"/>
  <c r="V35" i="1"/>
  <c r="V32" i="1" s="1"/>
  <c r="W35" i="1"/>
  <c r="X35" i="1"/>
  <c r="Y35" i="1"/>
  <c r="Z35" i="1"/>
  <c r="AA35" i="1"/>
  <c r="AB35" i="1"/>
  <c r="AC35" i="1"/>
  <c r="AD35" i="1"/>
  <c r="AE35" i="1"/>
  <c r="H32" i="1"/>
  <c r="I32" i="1"/>
  <c r="J32" i="1"/>
  <c r="K32" i="1"/>
  <c r="L32" i="1"/>
  <c r="M32" i="1"/>
  <c r="N32" i="1"/>
  <c r="O32" i="1"/>
  <c r="P32" i="1"/>
  <c r="Q32" i="1"/>
  <c r="R32" i="1"/>
  <c r="S32" i="1"/>
  <c r="U32" i="1"/>
  <c r="W32" i="1"/>
  <c r="X32" i="1"/>
  <c r="Y32" i="1"/>
  <c r="Z32" i="1"/>
  <c r="AA32" i="1"/>
  <c r="AB32" i="1"/>
  <c r="AC32" i="1"/>
  <c r="AD32" i="1"/>
  <c r="AE32" i="1"/>
  <c r="F32" i="1"/>
  <c r="G35" i="1"/>
  <c r="G32" i="1" s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F46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G49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F60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G63" i="1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2" i="2"/>
  <c r="AE133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170" i="2"/>
  <c r="AE171" i="2"/>
  <c r="AE172" i="2"/>
  <c r="AE173" i="2"/>
  <c r="AE174" i="2"/>
  <c r="AE175" i="2"/>
  <c r="AE176" i="2"/>
  <c r="AE177" i="2"/>
  <c r="AE178" i="2"/>
  <c r="AE179" i="2"/>
  <c r="AE180" i="2"/>
  <c r="AE181" i="2"/>
  <c r="AE182" i="2"/>
  <c r="AE183" i="2"/>
  <c r="AE184" i="2"/>
  <c r="AE185" i="2"/>
  <c r="AE186" i="2"/>
  <c r="AE187" i="2"/>
  <c r="AE188" i="2"/>
  <c r="AE189" i="2"/>
  <c r="AE190" i="2"/>
  <c r="AF174" i="2" l="1"/>
  <c r="AF154" i="2"/>
  <c r="AF134" i="2"/>
  <c r="AF114" i="2"/>
  <c r="AF189" i="2"/>
  <c r="AF171" i="2"/>
  <c r="AF149" i="2"/>
  <c r="AF129" i="2"/>
  <c r="AF109" i="2"/>
  <c r="AF184" i="2"/>
  <c r="AF164" i="2"/>
  <c r="AF144" i="2"/>
  <c r="AF124" i="2"/>
  <c r="AF104" i="2"/>
  <c r="AF179" i="2"/>
  <c r="AF159" i="2"/>
  <c r="AF139" i="2"/>
  <c r="AF119" i="2"/>
  <c r="AF169" i="2"/>
  <c r="G29" i="3" l="1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F30" i="3"/>
  <c r="F2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F20" i="3"/>
  <c r="F19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F11" i="3"/>
  <c r="F12" i="3"/>
  <c r="F10" i="3"/>
  <c r="F101" i="2" l="1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</calcChain>
</file>

<file path=xl/sharedStrings.xml><?xml version="1.0" encoding="utf-8"?>
<sst xmlns="http://schemas.openxmlformats.org/spreadsheetml/2006/main" count="99" uniqueCount="40">
  <si>
    <t>NAFLD</t>
  </si>
  <si>
    <t>Unin1</t>
  </si>
  <si>
    <t>Unin2</t>
  </si>
  <si>
    <t>Steatosis</t>
  </si>
  <si>
    <t>NASH</t>
  </si>
  <si>
    <t>Non-NAFLD</t>
  </si>
  <si>
    <t>Cirrhosis</t>
  </si>
  <si>
    <t>HCC</t>
  </si>
  <si>
    <t>LiverDeath</t>
  </si>
  <si>
    <t>NaturalDeath</t>
  </si>
  <si>
    <t>OtherDeath</t>
  </si>
  <si>
    <t>CHD</t>
  </si>
  <si>
    <t>T2D</t>
  </si>
  <si>
    <t>Non-CHD</t>
  </si>
  <si>
    <t>CHDDeath</t>
  </si>
  <si>
    <t>Non-T2D</t>
  </si>
  <si>
    <t>T2DDeath</t>
  </si>
  <si>
    <t>BMI</t>
  </si>
  <si>
    <t>Healthy weight</t>
  </si>
  <si>
    <t>Overweight</t>
  </si>
  <si>
    <t>Obese</t>
  </si>
  <si>
    <t>Other death</t>
  </si>
  <si>
    <t>Excel</t>
  </si>
  <si>
    <t>GO</t>
  </si>
  <si>
    <t>Cumulative dead:</t>
  </si>
  <si>
    <t>All models</t>
  </si>
  <si>
    <t>Total simulated:</t>
  </si>
  <si>
    <t>Cycles</t>
  </si>
  <si>
    <t>Age</t>
  </si>
  <si>
    <t>NH-White</t>
  </si>
  <si>
    <t>NH-Black</t>
  </si>
  <si>
    <t>Hispanic</t>
  </si>
  <si>
    <t>Otherdeath</t>
  </si>
  <si>
    <t>Male</t>
  </si>
  <si>
    <t>Female</t>
  </si>
  <si>
    <t>High Fructose</t>
  </si>
  <si>
    <t>Low Fructose</t>
  </si>
  <si>
    <t>Unin</t>
  </si>
  <si>
    <t>Supposed at 2035 (CDC):</t>
  </si>
  <si>
    <t>Per group: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</si>
</sst>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percentStacked"/>
        <c:varyColors val="0"/>
        <c:ser>
          <c:idx val="1"/>
          <c:order val="0"/>
          <c:tx>
            <c:strRef>
              <c:f>'Disease prevalence'!$C$6</c:f>
              <c:strCache>
                <c:ptCount val="1"/>
                <c:pt idx="0">
                  <c:v>Non-NAFLD</c:v>
                </c:pt>
              </c:strCache>
            </c:strRef>
          </c:tx>
          <c:cat>
            <c:numRef>
              <c:f>'Disease prevalence'!$F$2:$AE$2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'Disease prevalence'!$F$6:$AE$6</c:f>
              <c:numCache>
                <c:formatCode>General</c:formatCode>
                <c:ptCount val="26"/>
                <c:pt idx="0">
                  <c:v>15710</c:v>
                </c:pt>
                <c:pt idx="1">
                  <c:v>15772</c:v>
                </c:pt>
                <c:pt idx="2">
                  <c:v>15867</c:v>
                </c:pt>
                <c:pt idx="3">
                  <c:v>15945</c:v>
                </c:pt>
                <c:pt idx="4">
                  <c:v>15998</c:v>
                </c:pt>
                <c:pt idx="5">
                  <c:v>16118</c:v>
                </c:pt>
                <c:pt idx="6">
                  <c:v>16205</c:v>
                </c:pt>
                <c:pt idx="7">
                  <c:v>16297</c:v>
                </c:pt>
                <c:pt idx="8">
                  <c:v>16347</c:v>
                </c:pt>
                <c:pt idx="9">
                  <c:v>16375</c:v>
                </c:pt>
                <c:pt idx="10">
                  <c:v>16463</c:v>
                </c:pt>
                <c:pt idx="11">
                  <c:v>16542</c:v>
                </c:pt>
                <c:pt idx="12">
                  <c:v>16578</c:v>
                </c:pt>
                <c:pt idx="13">
                  <c:v>16640</c:v>
                </c:pt>
                <c:pt idx="14">
                  <c:v>16679</c:v>
                </c:pt>
                <c:pt idx="15">
                  <c:v>16697</c:v>
                </c:pt>
                <c:pt idx="16">
                  <c:v>16756</c:v>
                </c:pt>
                <c:pt idx="17">
                  <c:v>16785</c:v>
                </c:pt>
                <c:pt idx="18">
                  <c:v>16809</c:v>
                </c:pt>
                <c:pt idx="19">
                  <c:v>16870</c:v>
                </c:pt>
                <c:pt idx="20">
                  <c:v>16882</c:v>
                </c:pt>
                <c:pt idx="21">
                  <c:v>16942</c:v>
                </c:pt>
                <c:pt idx="22">
                  <c:v>16908</c:v>
                </c:pt>
                <c:pt idx="23">
                  <c:v>16963</c:v>
                </c:pt>
                <c:pt idx="24">
                  <c:v>16983</c:v>
                </c:pt>
                <c:pt idx="25">
                  <c:v>16965</c:v>
                </c:pt>
              </c:numCache>
            </c:numRef>
          </c:val>
        </c:ser>
        <c:ser>
          <c:idx val="2"/>
          <c:order val="1"/>
          <c:tx>
            <c:strRef>
              <c:f>'Disease prevalence'!$C$7</c:f>
              <c:strCache>
                <c:ptCount val="1"/>
                <c:pt idx="0">
                  <c:v>Steatosis</c:v>
                </c:pt>
              </c:strCache>
            </c:strRef>
          </c:tx>
          <c:cat>
            <c:numRef>
              <c:f>'Disease prevalence'!$F$2:$AE$2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'Disease prevalence'!$F$7:$AE$7</c:f>
              <c:numCache>
                <c:formatCode>General</c:formatCode>
                <c:ptCount val="26"/>
                <c:pt idx="0">
                  <c:v>5220</c:v>
                </c:pt>
                <c:pt idx="1">
                  <c:v>5334</c:v>
                </c:pt>
                <c:pt idx="2">
                  <c:v>5427</c:v>
                </c:pt>
                <c:pt idx="3">
                  <c:v>5522</c:v>
                </c:pt>
                <c:pt idx="4">
                  <c:v>5640</c:v>
                </c:pt>
                <c:pt idx="5">
                  <c:v>5720</c:v>
                </c:pt>
                <c:pt idx="6">
                  <c:v>5764</c:v>
                </c:pt>
                <c:pt idx="7">
                  <c:v>5796</c:v>
                </c:pt>
                <c:pt idx="8">
                  <c:v>5856</c:v>
                </c:pt>
                <c:pt idx="9">
                  <c:v>5919</c:v>
                </c:pt>
                <c:pt idx="10">
                  <c:v>5992</c:v>
                </c:pt>
                <c:pt idx="11">
                  <c:v>6045</c:v>
                </c:pt>
                <c:pt idx="12">
                  <c:v>6111</c:v>
                </c:pt>
                <c:pt idx="13">
                  <c:v>6129</c:v>
                </c:pt>
                <c:pt idx="14">
                  <c:v>6182</c:v>
                </c:pt>
                <c:pt idx="15">
                  <c:v>6225</c:v>
                </c:pt>
                <c:pt idx="16">
                  <c:v>6232</c:v>
                </c:pt>
                <c:pt idx="17">
                  <c:v>6234</c:v>
                </c:pt>
                <c:pt idx="18">
                  <c:v>6287</c:v>
                </c:pt>
                <c:pt idx="19">
                  <c:v>6294</c:v>
                </c:pt>
                <c:pt idx="20">
                  <c:v>6331</c:v>
                </c:pt>
                <c:pt idx="21">
                  <c:v>6313</c:v>
                </c:pt>
                <c:pt idx="22">
                  <c:v>6339</c:v>
                </c:pt>
                <c:pt idx="23">
                  <c:v>6318</c:v>
                </c:pt>
                <c:pt idx="24">
                  <c:v>6328</c:v>
                </c:pt>
                <c:pt idx="25">
                  <c:v>6334</c:v>
                </c:pt>
              </c:numCache>
            </c:numRef>
          </c:val>
        </c:ser>
        <c:ser>
          <c:idx val="3"/>
          <c:order val="2"/>
          <c:tx>
            <c:strRef>
              <c:f>'Disease prevalence'!$C$8</c:f>
              <c:strCache>
                <c:ptCount val="1"/>
                <c:pt idx="0">
                  <c:v>NASH</c:v>
                </c:pt>
              </c:strCache>
            </c:strRef>
          </c:tx>
          <c:cat>
            <c:numRef>
              <c:f>'Disease prevalence'!$F$2:$AE$2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'Disease prevalence'!$F$8:$AE$8</c:f>
              <c:numCache>
                <c:formatCode>General</c:formatCode>
                <c:ptCount val="26"/>
                <c:pt idx="0">
                  <c:v>1340</c:v>
                </c:pt>
                <c:pt idx="1">
                  <c:v>1366</c:v>
                </c:pt>
                <c:pt idx="2">
                  <c:v>1389</c:v>
                </c:pt>
                <c:pt idx="3">
                  <c:v>1386</c:v>
                </c:pt>
                <c:pt idx="4">
                  <c:v>1384</c:v>
                </c:pt>
                <c:pt idx="5">
                  <c:v>1380</c:v>
                </c:pt>
                <c:pt idx="6">
                  <c:v>1370</c:v>
                </c:pt>
                <c:pt idx="7">
                  <c:v>1383</c:v>
                </c:pt>
                <c:pt idx="8">
                  <c:v>1395</c:v>
                </c:pt>
                <c:pt idx="9">
                  <c:v>1397</c:v>
                </c:pt>
                <c:pt idx="10">
                  <c:v>1369</c:v>
                </c:pt>
                <c:pt idx="11">
                  <c:v>1361</c:v>
                </c:pt>
                <c:pt idx="12">
                  <c:v>1362</c:v>
                </c:pt>
                <c:pt idx="13">
                  <c:v>1361</c:v>
                </c:pt>
                <c:pt idx="14">
                  <c:v>1372</c:v>
                </c:pt>
                <c:pt idx="15">
                  <c:v>1389</c:v>
                </c:pt>
                <c:pt idx="16">
                  <c:v>1401</c:v>
                </c:pt>
                <c:pt idx="17">
                  <c:v>1400</c:v>
                </c:pt>
                <c:pt idx="18">
                  <c:v>1396</c:v>
                </c:pt>
                <c:pt idx="19">
                  <c:v>1393</c:v>
                </c:pt>
                <c:pt idx="20">
                  <c:v>1376</c:v>
                </c:pt>
                <c:pt idx="21">
                  <c:v>1374</c:v>
                </c:pt>
                <c:pt idx="22">
                  <c:v>1361</c:v>
                </c:pt>
                <c:pt idx="23">
                  <c:v>1367</c:v>
                </c:pt>
                <c:pt idx="24">
                  <c:v>1363</c:v>
                </c:pt>
                <c:pt idx="25">
                  <c:v>1376</c:v>
                </c:pt>
              </c:numCache>
            </c:numRef>
          </c:val>
        </c:ser>
        <c:ser>
          <c:idx val="4"/>
          <c:order val="3"/>
          <c:tx>
            <c:strRef>
              <c:f>'Disease prevalence'!$C$9</c:f>
              <c:strCache>
                <c:ptCount val="1"/>
                <c:pt idx="0">
                  <c:v>Cirrhosis</c:v>
                </c:pt>
              </c:strCache>
            </c:strRef>
          </c:tx>
          <c:cat>
            <c:numRef>
              <c:f>'Disease prevalence'!$F$2:$AE$2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'Disease prevalence'!$F$9:$AE$9</c:f>
              <c:numCache>
                <c:formatCode>General</c:formatCode>
                <c:ptCount val="26"/>
                <c:pt idx="0">
                  <c:v>125</c:v>
                </c:pt>
                <c:pt idx="1">
                  <c:v>132</c:v>
                </c:pt>
                <c:pt idx="2">
                  <c:v>139</c:v>
                </c:pt>
                <c:pt idx="3">
                  <c:v>155</c:v>
                </c:pt>
                <c:pt idx="4">
                  <c:v>154</c:v>
                </c:pt>
                <c:pt idx="5">
                  <c:v>161</c:v>
                </c:pt>
                <c:pt idx="6">
                  <c:v>171</c:v>
                </c:pt>
                <c:pt idx="7">
                  <c:v>174</c:v>
                </c:pt>
                <c:pt idx="8">
                  <c:v>177</c:v>
                </c:pt>
                <c:pt idx="9">
                  <c:v>176</c:v>
                </c:pt>
                <c:pt idx="10">
                  <c:v>181</c:v>
                </c:pt>
                <c:pt idx="11">
                  <c:v>186</c:v>
                </c:pt>
                <c:pt idx="12">
                  <c:v>193</c:v>
                </c:pt>
                <c:pt idx="13">
                  <c:v>197</c:v>
                </c:pt>
                <c:pt idx="14">
                  <c:v>198</c:v>
                </c:pt>
                <c:pt idx="15">
                  <c:v>200</c:v>
                </c:pt>
                <c:pt idx="16">
                  <c:v>208</c:v>
                </c:pt>
                <c:pt idx="17">
                  <c:v>220</c:v>
                </c:pt>
                <c:pt idx="18">
                  <c:v>226</c:v>
                </c:pt>
                <c:pt idx="19">
                  <c:v>231</c:v>
                </c:pt>
                <c:pt idx="20">
                  <c:v>240</c:v>
                </c:pt>
                <c:pt idx="21">
                  <c:v>245</c:v>
                </c:pt>
                <c:pt idx="22">
                  <c:v>252</c:v>
                </c:pt>
                <c:pt idx="23">
                  <c:v>261</c:v>
                </c:pt>
                <c:pt idx="24">
                  <c:v>259</c:v>
                </c:pt>
                <c:pt idx="25">
                  <c:v>254</c:v>
                </c:pt>
              </c:numCache>
            </c:numRef>
          </c:val>
        </c:ser>
        <c:ser>
          <c:idx val="5"/>
          <c:order val="4"/>
          <c:tx>
            <c:strRef>
              <c:f>'Disease prevalence'!$C$10</c:f>
              <c:strCache>
                <c:ptCount val="1"/>
                <c:pt idx="0">
                  <c:v>HCC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prevalence'!$F$2:$AE$2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'Disease prevalence'!$F$10:$AE$10</c:f>
              <c:numCache>
                <c:formatCode>General</c:formatCode>
                <c:ptCount val="26"/>
                <c:pt idx="0">
                  <c:v>5</c:v>
                </c:pt>
                <c:pt idx="1">
                  <c:v>5</c:v>
                </c:pt>
                <c:pt idx="2">
                  <c:v>6</c:v>
                </c:pt>
                <c:pt idx="3">
                  <c:v>4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5</c:v>
                </c:pt>
                <c:pt idx="8">
                  <c:v>9</c:v>
                </c:pt>
                <c:pt idx="9">
                  <c:v>9</c:v>
                </c:pt>
                <c:pt idx="10">
                  <c:v>7</c:v>
                </c:pt>
                <c:pt idx="11">
                  <c:v>6</c:v>
                </c:pt>
                <c:pt idx="12">
                  <c:v>6</c:v>
                </c:pt>
                <c:pt idx="13">
                  <c:v>7</c:v>
                </c:pt>
                <c:pt idx="14">
                  <c:v>9</c:v>
                </c:pt>
                <c:pt idx="15">
                  <c:v>7</c:v>
                </c:pt>
                <c:pt idx="16">
                  <c:v>9</c:v>
                </c:pt>
                <c:pt idx="17">
                  <c:v>6</c:v>
                </c:pt>
                <c:pt idx="18">
                  <c:v>5</c:v>
                </c:pt>
                <c:pt idx="19">
                  <c:v>8</c:v>
                </c:pt>
                <c:pt idx="20">
                  <c:v>9</c:v>
                </c:pt>
                <c:pt idx="21">
                  <c:v>8</c:v>
                </c:pt>
                <c:pt idx="22">
                  <c:v>10</c:v>
                </c:pt>
                <c:pt idx="23">
                  <c:v>11</c:v>
                </c:pt>
                <c:pt idx="24">
                  <c:v>11</c:v>
                </c:pt>
                <c:pt idx="25">
                  <c:v>11</c:v>
                </c:pt>
              </c:numCache>
            </c:numRef>
          </c:val>
        </c:ser>
        <c:ser>
          <c:idx val="6"/>
          <c:order val="5"/>
          <c:tx>
            <c:strRef>
              <c:f>'Disease prevalence'!$C$11</c:f>
              <c:strCache>
                <c:ptCount val="1"/>
                <c:pt idx="0">
                  <c:v>LiverDeath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prevalence'!$F$2:$AE$2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'Disease prevalence'!$F$11:$AE$11</c:f>
              <c:numCache>
                <c:formatCode>General</c:formatCode>
                <c:ptCount val="26"/>
                <c:pt idx="0">
                  <c:v>0</c:v>
                </c:pt>
                <c:pt idx="1">
                  <c:v>8</c:v>
                </c:pt>
                <c:pt idx="2">
                  <c:v>23</c:v>
                </c:pt>
                <c:pt idx="3">
                  <c:v>33</c:v>
                </c:pt>
                <c:pt idx="4">
                  <c:v>45</c:v>
                </c:pt>
                <c:pt idx="5">
                  <c:v>58</c:v>
                </c:pt>
                <c:pt idx="6">
                  <c:v>70</c:v>
                </c:pt>
                <c:pt idx="7">
                  <c:v>84</c:v>
                </c:pt>
                <c:pt idx="8">
                  <c:v>97</c:v>
                </c:pt>
                <c:pt idx="9">
                  <c:v>115</c:v>
                </c:pt>
                <c:pt idx="10">
                  <c:v>133</c:v>
                </c:pt>
                <c:pt idx="11">
                  <c:v>148</c:v>
                </c:pt>
                <c:pt idx="12">
                  <c:v>157</c:v>
                </c:pt>
                <c:pt idx="13">
                  <c:v>166</c:v>
                </c:pt>
                <c:pt idx="14">
                  <c:v>176</c:v>
                </c:pt>
                <c:pt idx="15">
                  <c:v>198</c:v>
                </c:pt>
                <c:pt idx="16">
                  <c:v>207</c:v>
                </c:pt>
                <c:pt idx="17">
                  <c:v>221</c:v>
                </c:pt>
                <c:pt idx="18">
                  <c:v>236</c:v>
                </c:pt>
                <c:pt idx="19">
                  <c:v>248</c:v>
                </c:pt>
                <c:pt idx="20">
                  <c:v>266</c:v>
                </c:pt>
                <c:pt idx="21">
                  <c:v>289</c:v>
                </c:pt>
                <c:pt idx="22">
                  <c:v>298</c:v>
                </c:pt>
                <c:pt idx="23">
                  <c:v>308</c:v>
                </c:pt>
                <c:pt idx="24">
                  <c:v>325</c:v>
                </c:pt>
                <c:pt idx="25">
                  <c:v>342</c:v>
                </c:pt>
              </c:numCache>
            </c:numRef>
          </c:val>
        </c:ser>
        <c:ser>
          <c:idx val="7"/>
          <c:order val="6"/>
          <c:tx>
            <c:strRef>
              <c:f>'Disease prevalence'!$C$12</c:f>
              <c:strCache>
                <c:ptCount val="1"/>
                <c:pt idx="0">
                  <c:v>NaturalDeath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prevalence'!$F$2:$AE$2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'Disease prevalence'!$F$12:$AE$12</c:f>
              <c:numCache>
                <c:formatCode>General</c:formatCode>
                <c:ptCount val="26"/>
                <c:pt idx="0">
                  <c:v>0</c:v>
                </c:pt>
                <c:pt idx="1">
                  <c:v>196</c:v>
                </c:pt>
                <c:pt idx="2">
                  <c:v>372</c:v>
                </c:pt>
                <c:pt idx="3">
                  <c:v>573</c:v>
                </c:pt>
                <c:pt idx="4">
                  <c:v>795</c:v>
                </c:pt>
                <c:pt idx="5">
                  <c:v>969</c:v>
                </c:pt>
                <c:pt idx="6">
                  <c:v>1189</c:v>
                </c:pt>
                <c:pt idx="7">
                  <c:v>1407</c:v>
                </c:pt>
                <c:pt idx="8">
                  <c:v>1619</c:v>
                </c:pt>
                <c:pt idx="9">
                  <c:v>1868</c:v>
                </c:pt>
                <c:pt idx="10">
                  <c:v>2063</c:v>
                </c:pt>
                <c:pt idx="11">
                  <c:v>2260</c:v>
                </c:pt>
                <c:pt idx="12">
                  <c:v>2472</c:v>
                </c:pt>
                <c:pt idx="13">
                  <c:v>2700</c:v>
                </c:pt>
                <c:pt idx="14">
                  <c:v>2917</c:v>
                </c:pt>
                <c:pt idx="15">
                  <c:v>3152</c:v>
                </c:pt>
                <c:pt idx="16">
                  <c:v>3386</c:v>
                </c:pt>
                <c:pt idx="17">
                  <c:v>3617</c:v>
                </c:pt>
                <c:pt idx="18">
                  <c:v>3819</c:v>
                </c:pt>
                <c:pt idx="19">
                  <c:v>4014</c:v>
                </c:pt>
                <c:pt idx="20">
                  <c:v>4243</c:v>
                </c:pt>
                <c:pt idx="21">
                  <c:v>4458</c:v>
                </c:pt>
                <c:pt idx="22">
                  <c:v>4717</c:v>
                </c:pt>
                <c:pt idx="23">
                  <c:v>4947</c:v>
                </c:pt>
                <c:pt idx="24">
                  <c:v>5158</c:v>
                </c:pt>
                <c:pt idx="25">
                  <c:v>5399</c:v>
                </c:pt>
              </c:numCache>
            </c:numRef>
          </c:val>
        </c:ser>
        <c:ser>
          <c:idx val="8"/>
          <c:order val="7"/>
          <c:tx>
            <c:strRef>
              <c:f>'Disease prevalence'!$C$13</c:f>
              <c:strCache>
                <c:ptCount val="1"/>
                <c:pt idx="0">
                  <c:v>OtherDeath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prevalence'!$F$2:$AE$2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'Disease prevalence'!$F$13:$AE$13</c:f>
              <c:numCache>
                <c:formatCode>General</c:formatCode>
                <c:ptCount val="26"/>
                <c:pt idx="0">
                  <c:v>0</c:v>
                </c:pt>
                <c:pt idx="1">
                  <c:v>3</c:v>
                </c:pt>
                <c:pt idx="2">
                  <c:v>9</c:v>
                </c:pt>
                <c:pt idx="3">
                  <c:v>30</c:v>
                </c:pt>
                <c:pt idx="4">
                  <c:v>42</c:v>
                </c:pt>
                <c:pt idx="5">
                  <c:v>68</c:v>
                </c:pt>
                <c:pt idx="6">
                  <c:v>121</c:v>
                </c:pt>
                <c:pt idx="7">
                  <c:v>166</c:v>
                </c:pt>
                <c:pt idx="8">
                  <c:v>228</c:v>
                </c:pt>
                <c:pt idx="9">
                  <c:v>285</c:v>
                </c:pt>
                <c:pt idx="10">
                  <c:v>352</c:v>
                </c:pt>
                <c:pt idx="11">
                  <c:v>428</c:v>
                </c:pt>
                <c:pt idx="12">
                  <c:v>513</c:v>
                </c:pt>
                <c:pt idx="13">
                  <c:v>608</c:v>
                </c:pt>
                <c:pt idx="14">
                  <c:v>691</c:v>
                </c:pt>
                <c:pt idx="15">
                  <c:v>772</c:v>
                </c:pt>
                <c:pt idx="16">
                  <c:v>857</c:v>
                </c:pt>
                <c:pt idx="17">
                  <c:v>989</c:v>
                </c:pt>
                <c:pt idx="18">
                  <c:v>1110</c:v>
                </c:pt>
                <c:pt idx="19">
                  <c:v>1246</c:v>
                </c:pt>
                <c:pt idx="20">
                  <c:v>1373</c:v>
                </c:pt>
                <c:pt idx="21">
                  <c:v>1507</c:v>
                </c:pt>
                <c:pt idx="22">
                  <c:v>1667</c:v>
                </c:pt>
                <c:pt idx="23">
                  <c:v>1793</c:v>
                </c:pt>
                <c:pt idx="24">
                  <c:v>1957</c:v>
                </c:pt>
                <c:pt idx="25">
                  <c:v>2119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076800"/>
        <c:axId val="148086784"/>
      </c:areaChart>
      <c:catAx>
        <c:axId val="148076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8086784"/>
        <c:crosses val="autoZero"/>
        <c:auto val="1"/>
        <c:lblAlgn val="ctr"/>
        <c:lblOffset val="100"/>
        <c:noMultiLvlLbl val="0"/>
      </c:catAx>
      <c:valAx>
        <c:axId val="14808678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480768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6594439794808744"/>
          <c:y val="0.13606695389491408"/>
          <c:w val="0.20802523328835523"/>
          <c:h val="0.72786569603327889"/>
        </c:manualLayout>
      </c:layout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percentStacked"/>
        <c:varyColors val="0"/>
        <c:ser>
          <c:idx val="1"/>
          <c:order val="0"/>
          <c:tx>
            <c:strRef>
              <c:f>'Disease prevalence'!$C$27</c:f>
              <c:strCache>
                <c:ptCount val="1"/>
                <c:pt idx="0">
                  <c:v>Non-CHD</c:v>
                </c:pt>
              </c:strCache>
            </c:strRef>
          </c:tx>
          <c:cat>
            <c:numRef>
              <c:f>'Disease prevalence'!$F$3:$AE$3</c:f>
              <c:numCache>
                <c:formatCode>General</c:formatCode>
                <c:ptCount val="26"/>
              </c:numCache>
            </c:numRef>
          </c:cat>
          <c:val>
            <c:numRef>
              <c:f>'Disease prevalence'!$F$27:$AE$27</c:f>
              <c:numCache>
                <c:formatCode>General</c:formatCode>
                <c:ptCount val="26"/>
                <c:pt idx="0">
                  <c:v>22400</c:v>
                </c:pt>
                <c:pt idx="1">
                  <c:v>22550</c:v>
                </c:pt>
                <c:pt idx="2">
                  <c:v>22709</c:v>
                </c:pt>
                <c:pt idx="3">
                  <c:v>22852</c:v>
                </c:pt>
                <c:pt idx="4">
                  <c:v>22959</c:v>
                </c:pt>
                <c:pt idx="5">
                  <c:v>23081</c:v>
                </c:pt>
                <c:pt idx="6">
                  <c:v>23186</c:v>
                </c:pt>
                <c:pt idx="7">
                  <c:v>23286</c:v>
                </c:pt>
                <c:pt idx="8">
                  <c:v>23405</c:v>
                </c:pt>
                <c:pt idx="9">
                  <c:v>23480</c:v>
                </c:pt>
                <c:pt idx="10">
                  <c:v>23576</c:v>
                </c:pt>
                <c:pt idx="11">
                  <c:v>23685</c:v>
                </c:pt>
                <c:pt idx="12">
                  <c:v>23784</c:v>
                </c:pt>
                <c:pt idx="13">
                  <c:v>23822</c:v>
                </c:pt>
                <c:pt idx="14">
                  <c:v>23915</c:v>
                </c:pt>
                <c:pt idx="15">
                  <c:v>23989</c:v>
                </c:pt>
                <c:pt idx="16">
                  <c:v>24063</c:v>
                </c:pt>
                <c:pt idx="17">
                  <c:v>24129</c:v>
                </c:pt>
                <c:pt idx="18">
                  <c:v>24207</c:v>
                </c:pt>
                <c:pt idx="19">
                  <c:v>24288</c:v>
                </c:pt>
                <c:pt idx="20">
                  <c:v>24336</c:v>
                </c:pt>
                <c:pt idx="21">
                  <c:v>24386</c:v>
                </c:pt>
                <c:pt idx="22">
                  <c:v>24414</c:v>
                </c:pt>
                <c:pt idx="23">
                  <c:v>24478</c:v>
                </c:pt>
                <c:pt idx="24">
                  <c:v>24518</c:v>
                </c:pt>
                <c:pt idx="25">
                  <c:v>24539</c:v>
                </c:pt>
              </c:numCache>
            </c:numRef>
          </c:val>
        </c:ser>
        <c:ser>
          <c:idx val="2"/>
          <c:order val="1"/>
          <c:tx>
            <c:strRef>
              <c:f>'Disease prevalence'!$C$28</c:f>
              <c:strCache>
                <c:ptCount val="1"/>
                <c:pt idx="0">
                  <c:v>CHD</c:v>
                </c:pt>
              </c:strCache>
            </c:strRef>
          </c:tx>
          <c:cat>
            <c:numRef>
              <c:f>'Disease prevalence'!$F$3:$AE$3</c:f>
              <c:numCache>
                <c:formatCode>General</c:formatCode>
                <c:ptCount val="26"/>
              </c:numCache>
            </c:numRef>
          </c:cat>
          <c:val>
            <c:numRef>
              <c:f>'Disease prevalence'!$F$28:$AE$28</c:f>
              <c:numCache>
                <c:formatCode>General</c:formatCode>
                <c:ptCount val="26"/>
                <c:pt idx="0">
                  <c:v>0</c:v>
                </c:pt>
                <c:pt idx="1">
                  <c:v>164</c:v>
                </c:pt>
                <c:pt idx="2">
                  <c:v>313</c:v>
                </c:pt>
                <c:pt idx="3">
                  <c:v>464</c:v>
                </c:pt>
                <c:pt idx="4">
                  <c:v>636</c:v>
                </c:pt>
                <c:pt idx="5">
                  <c:v>797</c:v>
                </c:pt>
                <c:pt idx="6">
                  <c:v>923</c:v>
                </c:pt>
                <c:pt idx="7">
                  <c:v>1065</c:v>
                </c:pt>
                <c:pt idx="8">
                  <c:v>1171</c:v>
                </c:pt>
                <c:pt idx="9">
                  <c:v>1296</c:v>
                </c:pt>
                <c:pt idx="10">
                  <c:v>1428</c:v>
                </c:pt>
                <c:pt idx="11">
                  <c:v>1548</c:v>
                </c:pt>
                <c:pt idx="12">
                  <c:v>1658</c:v>
                </c:pt>
                <c:pt idx="13">
                  <c:v>1795</c:v>
                </c:pt>
                <c:pt idx="14">
                  <c:v>1893</c:v>
                </c:pt>
                <c:pt idx="15">
                  <c:v>1997</c:v>
                </c:pt>
                <c:pt idx="16">
                  <c:v>2077</c:v>
                </c:pt>
                <c:pt idx="17">
                  <c:v>2164</c:v>
                </c:pt>
                <c:pt idx="18">
                  <c:v>2237</c:v>
                </c:pt>
                <c:pt idx="19">
                  <c:v>2305</c:v>
                </c:pt>
                <c:pt idx="20">
                  <c:v>2397</c:v>
                </c:pt>
                <c:pt idx="21">
                  <c:v>2472</c:v>
                </c:pt>
                <c:pt idx="22">
                  <c:v>2517</c:v>
                </c:pt>
                <c:pt idx="23">
                  <c:v>2572</c:v>
                </c:pt>
                <c:pt idx="24">
                  <c:v>2638</c:v>
                </c:pt>
                <c:pt idx="25">
                  <c:v>2723</c:v>
                </c:pt>
              </c:numCache>
            </c:numRef>
          </c:val>
        </c:ser>
        <c:ser>
          <c:idx val="3"/>
          <c:order val="2"/>
          <c:tx>
            <c:strRef>
              <c:f>'Disease prevalence'!$C$29</c:f>
              <c:strCache>
                <c:ptCount val="1"/>
                <c:pt idx="0">
                  <c:v>CHDDeath</c:v>
                </c:pt>
              </c:strCache>
            </c:strRef>
          </c:tx>
          <c:cat>
            <c:numRef>
              <c:f>'Disease prevalence'!$F$3:$AE$3</c:f>
              <c:numCache>
                <c:formatCode>General</c:formatCode>
                <c:ptCount val="26"/>
              </c:numCache>
            </c:numRef>
          </c:cat>
          <c:val>
            <c:numRef>
              <c:f>'Disease prevalence'!$F$29:$AE$29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16</c:v>
                </c:pt>
                <c:pt idx="4">
                  <c:v>24</c:v>
                </c:pt>
                <c:pt idx="5">
                  <c:v>43</c:v>
                </c:pt>
                <c:pt idx="6">
                  <c:v>79</c:v>
                </c:pt>
                <c:pt idx="7">
                  <c:v>102</c:v>
                </c:pt>
                <c:pt idx="8">
                  <c:v>130</c:v>
                </c:pt>
                <c:pt idx="9">
                  <c:v>157</c:v>
                </c:pt>
                <c:pt idx="10">
                  <c:v>187</c:v>
                </c:pt>
                <c:pt idx="11">
                  <c:v>223</c:v>
                </c:pt>
                <c:pt idx="12">
                  <c:v>259</c:v>
                </c:pt>
                <c:pt idx="13">
                  <c:v>300</c:v>
                </c:pt>
                <c:pt idx="14">
                  <c:v>350</c:v>
                </c:pt>
                <c:pt idx="15">
                  <c:v>392</c:v>
                </c:pt>
                <c:pt idx="16">
                  <c:v>444</c:v>
                </c:pt>
                <c:pt idx="17">
                  <c:v>495</c:v>
                </c:pt>
                <c:pt idx="18">
                  <c:v>547</c:v>
                </c:pt>
                <c:pt idx="19">
                  <c:v>601</c:v>
                </c:pt>
                <c:pt idx="20">
                  <c:v>657</c:v>
                </c:pt>
                <c:pt idx="21">
                  <c:v>708</c:v>
                </c:pt>
                <c:pt idx="22">
                  <c:v>771</c:v>
                </c:pt>
                <c:pt idx="23">
                  <c:v>831</c:v>
                </c:pt>
                <c:pt idx="24">
                  <c:v>892</c:v>
                </c:pt>
                <c:pt idx="25">
                  <c:v>937</c:v>
                </c:pt>
              </c:numCache>
            </c:numRef>
          </c:val>
        </c:ser>
        <c:ser>
          <c:idx val="8"/>
          <c:order val="3"/>
          <c:tx>
            <c:strRef>
              <c:f>'Disease prevalence'!$C$30</c:f>
              <c:strCache>
                <c:ptCount val="1"/>
                <c:pt idx="0">
                  <c:v>OtherDeath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prevalence'!$F$3:$AE$3</c:f>
              <c:numCache>
                <c:formatCode>General</c:formatCode>
                <c:ptCount val="26"/>
              </c:numCache>
            </c:numRef>
          </c:cat>
          <c:val>
            <c:numRef>
              <c:f>'Disease prevalence'!$F$30:$AE$30</c:f>
              <c:numCache>
                <c:formatCode>General</c:formatCode>
                <c:ptCount val="26"/>
                <c:pt idx="0">
                  <c:v>0</c:v>
                </c:pt>
                <c:pt idx="1">
                  <c:v>102</c:v>
                </c:pt>
                <c:pt idx="2">
                  <c:v>206</c:v>
                </c:pt>
                <c:pt idx="3">
                  <c:v>316</c:v>
                </c:pt>
                <c:pt idx="4">
                  <c:v>445</c:v>
                </c:pt>
                <c:pt idx="5">
                  <c:v>559</c:v>
                </c:pt>
                <c:pt idx="6">
                  <c:v>708</c:v>
                </c:pt>
                <c:pt idx="7">
                  <c:v>859</c:v>
                </c:pt>
                <c:pt idx="8">
                  <c:v>1022</c:v>
                </c:pt>
                <c:pt idx="9">
                  <c:v>1211</c:v>
                </c:pt>
                <c:pt idx="10">
                  <c:v>1369</c:v>
                </c:pt>
                <c:pt idx="11">
                  <c:v>1520</c:v>
                </c:pt>
                <c:pt idx="12">
                  <c:v>1691</c:v>
                </c:pt>
                <c:pt idx="13">
                  <c:v>1891</c:v>
                </c:pt>
                <c:pt idx="14">
                  <c:v>2066</c:v>
                </c:pt>
                <c:pt idx="15">
                  <c:v>2262</c:v>
                </c:pt>
                <c:pt idx="16">
                  <c:v>2472</c:v>
                </c:pt>
                <c:pt idx="17">
                  <c:v>2684</c:v>
                </c:pt>
                <c:pt idx="18">
                  <c:v>2897</c:v>
                </c:pt>
                <c:pt idx="19">
                  <c:v>3110</c:v>
                </c:pt>
                <c:pt idx="20">
                  <c:v>3330</c:v>
                </c:pt>
                <c:pt idx="21">
                  <c:v>3570</c:v>
                </c:pt>
                <c:pt idx="22">
                  <c:v>3850</c:v>
                </c:pt>
                <c:pt idx="23">
                  <c:v>4087</c:v>
                </c:pt>
                <c:pt idx="24">
                  <c:v>4336</c:v>
                </c:pt>
                <c:pt idx="25">
                  <c:v>4601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185984"/>
        <c:axId val="184187520"/>
      </c:areaChart>
      <c:catAx>
        <c:axId val="184185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4187520"/>
        <c:crosses val="autoZero"/>
        <c:auto val="1"/>
        <c:lblAlgn val="ctr"/>
        <c:lblOffset val="100"/>
        <c:noMultiLvlLbl val="0"/>
      </c:catAx>
      <c:valAx>
        <c:axId val="18418752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84185984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percentStacked"/>
        <c:varyColors val="0"/>
        <c:ser>
          <c:idx val="1"/>
          <c:order val="0"/>
          <c:tx>
            <c:strRef>
              <c:f>'Disease prevalence'!$C$15</c:f>
              <c:strCache>
                <c:ptCount val="1"/>
                <c:pt idx="0">
                  <c:v>Non-NAFLD</c:v>
                </c:pt>
              </c:strCache>
            </c:strRef>
          </c:tx>
          <c:cat>
            <c:numRef>
              <c:f>'Disease prevalence'!$F$2:$AE$2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'Disease prevalence'!$F$15:$AE$15</c:f>
              <c:numCache>
                <c:formatCode>General</c:formatCode>
                <c:ptCount val="26"/>
                <c:pt idx="0">
                  <c:v>15613</c:v>
                </c:pt>
                <c:pt idx="1">
                  <c:v>15254</c:v>
                </c:pt>
                <c:pt idx="2">
                  <c:v>14866</c:v>
                </c:pt>
                <c:pt idx="3">
                  <c:v>14507</c:v>
                </c:pt>
                <c:pt idx="4">
                  <c:v>14246</c:v>
                </c:pt>
                <c:pt idx="5">
                  <c:v>13896</c:v>
                </c:pt>
                <c:pt idx="6">
                  <c:v>13636</c:v>
                </c:pt>
                <c:pt idx="7">
                  <c:v>13295</c:v>
                </c:pt>
                <c:pt idx="8">
                  <c:v>13044</c:v>
                </c:pt>
                <c:pt idx="9">
                  <c:v>12806</c:v>
                </c:pt>
                <c:pt idx="10">
                  <c:v>12590</c:v>
                </c:pt>
                <c:pt idx="11">
                  <c:v>12360</c:v>
                </c:pt>
                <c:pt idx="12">
                  <c:v>12144</c:v>
                </c:pt>
                <c:pt idx="13">
                  <c:v>11921</c:v>
                </c:pt>
                <c:pt idx="14">
                  <c:v>11723</c:v>
                </c:pt>
                <c:pt idx="15">
                  <c:v>11500</c:v>
                </c:pt>
                <c:pt idx="16">
                  <c:v>11391</c:v>
                </c:pt>
                <c:pt idx="17">
                  <c:v>11256</c:v>
                </c:pt>
                <c:pt idx="18">
                  <c:v>11097</c:v>
                </c:pt>
                <c:pt idx="19">
                  <c:v>10998</c:v>
                </c:pt>
                <c:pt idx="20">
                  <c:v>10898</c:v>
                </c:pt>
                <c:pt idx="21">
                  <c:v>10748</c:v>
                </c:pt>
                <c:pt idx="22">
                  <c:v>10629</c:v>
                </c:pt>
                <c:pt idx="23">
                  <c:v>10516</c:v>
                </c:pt>
                <c:pt idx="24">
                  <c:v>10444</c:v>
                </c:pt>
                <c:pt idx="25">
                  <c:v>10370</c:v>
                </c:pt>
              </c:numCache>
            </c:numRef>
          </c:val>
        </c:ser>
        <c:ser>
          <c:idx val="2"/>
          <c:order val="1"/>
          <c:tx>
            <c:strRef>
              <c:f>'Disease prevalence'!$C$16</c:f>
              <c:strCache>
                <c:ptCount val="1"/>
                <c:pt idx="0">
                  <c:v>Steatosis</c:v>
                </c:pt>
              </c:strCache>
            </c:strRef>
          </c:tx>
          <c:cat>
            <c:numRef>
              <c:f>'Disease prevalence'!$F$2:$AE$2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'Disease prevalence'!$F$16:$AE$16</c:f>
              <c:numCache>
                <c:formatCode>General</c:formatCode>
                <c:ptCount val="26"/>
                <c:pt idx="0">
                  <c:v>5317</c:v>
                </c:pt>
                <c:pt idx="1">
                  <c:v>5727</c:v>
                </c:pt>
                <c:pt idx="2">
                  <c:v>6132</c:v>
                </c:pt>
                <c:pt idx="3">
                  <c:v>6482</c:v>
                </c:pt>
                <c:pt idx="4">
                  <c:v>6739</c:v>
                </c:pt>
                <c:pt idx="5">
                  <c:v>7026</c:v>
                </c:pt>
                <c:pt idx="6">
                  <c:v>7243</c:v>
                </c:pt>
                <c:pt idx="7">
                  <c:v>7511</c:v>
                </c:pt>
                <c:pt idx="8">
                  <c:v>7693</c:v>
                </c:pt>
                <c:pt idx="9">
                  <c:v>7859</c:v>
                </c:pt>
                <c:pt idx="10">
                  <c:v>8009</c:v>
                </c:pt>
                <c:pt idx="11">
                  <c:v>8158</c:v>
                </c:pt>
                <c:pt idx="12">
                  <c:v>8315</c:v>
                </c:pt>
                <c:pt idx="13">
                  <c:v>8460</c:v>
                </c:pt>
                <c:pt idx="14">
                  <c:v>8600</c:v>
                </c:pt>
                <c:pt idx="15">
                  <c:v>8759</c:v>
                </c:pt>
                <c:pt idx="16">
                  <c:v>8797</c:v>
                </c:pt>
                <c:pt idx="17">
                  <c:v>8858</c:v>
                </c:pt>
                <c:pt idx="18">
                  <c:v>8947</c:v>
                </c:pt>
                <c:pt idx="19">
                  <c:v>8993</c:v>
                </c:pt>
                <c:pt idx="20">
                  <c:v>9041</c:v>
                </c:pt>
                <c:pt idx="21">
                  <c:v>9142</c:v>
                </c:pt>
                <c:pt idx="22">
                  <c:v>9161</c:v>
                </c:pt>
                <c:pt idx="23">
                  <c:v>9186</c:v>
                </c:pt>
                <c:pt idx="24">
                  <c:v>9210</c:v>
                </c:pt>
                <c:pt idx="25">
                  <c:v>9233</c:v>
                </c:pt>
              </c:numCache>
            </c:numRef>
          </c:val>
        </c:ser>
        <c:ser>
          <c:idx val="3"/>
          <c:order val="2"/>
          <c:tx>
            <c:strRef>
              <c:f>'Disease prevalence'!$C$17</c:f>
              <c:strCache>
                <c:ptCount val="1"/>
                <c:pt idx="0">
                  <c:v>NASH</c:v>
                </c:pt>
              </c:strCache>
            </c:strRef>
          </c:tx>
          <c:cat>
            <c:numRef>
              <c:f>'Disease prevalence'!$F$2:$AE$2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'Disease prevalence'!$F$17:$AE$17</c:f>
              <c:numCache>
                <c:formatCode>General</c:formatCode>
                <c:ptCount val="26"/>
                <c:pt idx="0">
                  <c:v>1330</c:v>
                </c:pt>
                <c:pt idx="1">
                  <c:v>1426</c:v>
                </c:pt>
                <c:pt idx="2">
                  <c:v>1538</c:v>
                </c:pt>
                <c:pt idx="3">
                  <c:v>1664</c:v>
                </c:pt>
                <c:pt idx="4">
                  <c:v>1800</c:v>
                </c:pt>
                <c:pt idx="5">
                  <c:v>1923</c:v>
                </c:pt>
                <c:pt idx="6">
                  <c:v>2064</c:v>
                </c:pt>
                <c:pt idx="7">
                  <c:v>2188</c:v>
                </c:pt>
                <c:pt idx="8">
                  <c:v>2316</c:v>
                </c:pt>
                <c:pt idx="9">
                  <c:v>2444</c:v>
                </c:pt>
                <c:pt idx="10">
                  <c:v>2581</c:v>
                </c:pt>
                <c:pt idx="11">
                  <c:v>2709</c:v>
                </c:pt>
                <c:pt idx="12">
                  <c:v>2835</c:v>
                </c:pt>
                <c:pt idx="13">
                  <c:v>2962</c:v>
                </c:pt>
                <c:pt idx="14">
                  <c:v>3064</c:v>
                </c:pt>
                <c:pt idx="15">
                  <c:v>3174</c:v>
                </c:pt>
                <c:pt idx="16">
                  <c:v>3299</c:v>
                </c:pt>
                <c:pt idx="17">
                  <c:v>3422</c:v>
                </c:pt>
                <c:pt idx="18">
                  <c:v>3540</c:v>
                </c:pt>
                <c:pt idx="19">
                  <c:v>3655</c:v>
                </c:pt>
                <c:pt idx="20">
                  <c:v>3746</c:v>
                </c:pt>
                <c:pt idx="21">
                  <c:v>3844</c:v>
                </c:pt>
                <c:pt idx="22">
                  <c:v>3937</c:v>
                </c:pt>
                <c:pt idx="23">
                  <c:v>4030</c:v>
                </c:pt>
                <c:pt idx="24">
                  <c:v>4102</c:v>
                </c:pt>
                <c:pt idx="25">
                  <c:v>4191</c:v>
                </c:pt>
              </c:numCache>
            </c:numRef>
          </c:val>
        </c:ser>
        <c:ser>
          <c:idx val="4"/>
          <c:order val="3"/>
          <c:tx>
            <c:strRef>
              <c:f>'Disease prevalence'!$C$18</c:f>
              <c:strCache>
                <c:ptCount val="1"/>
                <c:pt idx="0">
                  <c:v>Cirrhosis</c:v>
                </c:pt>
              </c:strCache>
            </c:strRef>
          </c:tx>
          <c:cat>
            <c:numRef>
              <c:f>'Disease prevalence'!$F$2:$AE$2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'Disease prevalence'!$F$18:$AE$18</c:f>
              <c:numCache>
                <c:formatCode>General</c:formatCode>
                <c:ptCount val="26"/>
                <c:pt idx="0">
                  <c:v>132</c:v>
                </c:pt>
                <c:pt idx="1">
                  <c:v>134</c:v>
                </c:pt>
                <c:pt idx="2">
                  <c:v>137</c:v>
                </c:pt>
                <c:pt idx="3">
                  <c:v>153</c:v>
                </c:pt>
                <c:pt idx="4">
                  <c:v>166</c:v>
                </c:pt>
                <c:pt idx="5">
                  <c:v>171</c:v>
                </c:pt>
                <c:pt idx="6">
                  <c:v>183</c:v>
                </c:pt>
                <c:pt idx="7">
                  <c:v>192</c:v>
                </c:pt>
                <c:pt idx="8">
                  <c:v>211</c:v>
                </c:pt>
                <c:pt idx="9">
                  <c:v>215</c:v>
                </c:pt>
                <c:pt idx="10">
                  <c:v>228</c:v>
                </c:pt>
                <c:pt idx="11">
                  <c:v>238</c:v>
                </c:pt>
                <c:pt idx="12">
                  <c:v>255</c:v>
                </c:pt>
                <c:pt idx="13">
                  <c:v>262</c:v>
                </c:pt>
                <c:pt idx="14">
                  <c:v>288</c:v>
                </c:pt>
                <c:pt idx="15">
                  <c:v>300</c:v>
                </c:pt>
                <c:pt idx="16">
                  <c:v>329</c:v>
                </c:pt>
                <c:pt idx="17">
                  <c:v>358</c:v>
                </c:pt>
                <c:pt idx="18">
                  <c:v>372</c:v>
                </c:pt>
                <c:pt idx="19">
                  <c:v>377</c:v>
                </c:pt>
                <c:pt idx="20">
                  <c:v>390</c:v>
                </c:pt>
                <c:pt idx="21">
                  <c:v>391</c:v>
                </c:pt>
                <c:pt idx="22">
                  <c:v>401</c:v>
                </c:pt>
                <c:pt idx="23">
                  <c:v>431</c:v>
                </c:pt>
                <c:pt idx="24">
                  <c:v>448</c:v>
                </c:pt>
                <c:pt idx="25">
                  <c:v>450</c:v>
                </c:pt>
              </c:numCache>
            </c:numRef>
          </c:val>
        </c:ser>
        <c:ser>
          <c:idx val="5"/>
          <c:order val="4"/>
          <c:tx>
            <c:strRef>
              <c:f>'Disease prevalence'!$C$19</c:f>
              <c:strCache>
                <c:ptCount val="1"/>
                <c:pt idx="0">
                  <c:v>HCC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prevalence'!$F$2:$AE$2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'Disease prevalence'!$F$19:$AE$19</c:f>
              <c:numCache>
                <c:formatCode>General</c:formatCode>
                <c:ptCount val="26"/>
                <c:pt idx="0">
                  <c:v>8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9</c:v>
                </c:pt>
                <c:pt idx="10">
                  <c:v>9</c:v>
                </c:pt>
                <c:pt idx="11">
                  <c:v>6</c:v>
                </c:pt>
                <c:pt idx="12">
                  <c:v>7</c:v>
                </c:pt>
                <c:pt idx="13">
                  <c:v>11</c:v>
                </c:pt>
                <c:pt idx="14">
                  <c:v>8</c:v>
                </c:pt>
                <c:pt idx="15">
                  <c:v>4</c:v>
                </c:pt>
                <c:pt idx="16">
                  <c:v>9</c:v>
                </c:pt>
                <c:pt idx="17">
                  <c:v>12</c:v>
                </c:pt>
                <c:pt idx="18">
                  <c:v>11</c:v>
                </c:pt>
                <c:pt idx="19">
                  <c:v>18</c:v>
                </c:pt>
                <c:pt idx="20">
                  <c:v>18</c:v>
                </c:pt>
                <c:pt idx="21">
                  <c:v>15</c:v>
                </c:pt>
                <c:pt idx="22">
                  <c:v>17</c:v>
                </c:pt>
                <c:pt idx="23">
                  <c:v>11</c:v>
                </c:pt>
                <c:pt idx="24">
                  <c:v>14</c:v>
                </c:pt>
                <c:pt idx="25">
                  <c:v>13</c:v>
                </c:pt>
              </c:numCache>
            </c:numRef>
          </c:val>
        </c:ser>
        <c:ser>
          <c:idx val="6"/>
          <c:order val="5"/>
          <c:tx>
            <c:strRef>
              <c:f>'Disease prevalence'!$C$20</c:f>
              <c:strCache>
                <c:ptCount val="1"/>
                <c:pt idx="0">
                  <c:v>LiverDeath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prevalence'!$F$2:$AE$2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'Disease prevalence'!$F$20:$AE$20</c:f>
              <c:numCache>
                <c:formatCode>General</c:formatCode>
                <c:ptCount val="26"/>
                <c:pt idx="0">
                  <c:v>0</c:v>
                </c:pt>
                <c:pt idx="1">
                  <c:v>16</c:v>
                </c:pt>
                <c:pt idx="2">
                  <c:v>31</c:v>
                </c:pt>
                <c:pt idx="3">
                  <c:v>41</c:v>
                </c:pt>
                <c:pt idx="4">
                  <c:v>54</c:v>
                </c:pt>
                <c:pt idx="5">
                  <c:v>74</c:v>
                </c:pt>
                <c:pt idx="6">
                  <c:v>91</c:v>
                </c:pt>
                <c:pt idx="7">
                  <c:v>101</c:v>
                </c:pt>
                <c:pt idx="8">
                  <c:v>114</c:v>
                </c:pt>
                <c:pt idx="9">
                  <c:v>134</c:v>
                </c:pt>
                <c:pt idx="10">
                  <c:v>154</c:v>
                </c:pt>
                <c:pt idx="11">
                  <c:v>181</c:v>
                </c:pt>
                <c:pt idx="12">
                  <c:v>197</c:v>
                </c:pt>
                <c:pt idx="13">
                  <c:v>219</c:v>
                </c:pt>
                <c:pt idx="14">
                  <c:v>242</c:v>
                </c:pt>
                <c:pt idx="15">
                  <c:v>271</c:v>
                </c:pt>
                <c:pt idx="16">
                  <c:v>294</c:v>
                </c:pt>
                <c:pt idx="17">
                  <c:v>316</c:v>
                </c:pt>
                <c:pt idx="18">
                  <c:v>347</c:v>
                </c:pt>
                <c:pt idx="19">
                  <c:v>384</c:v>
                </c:pt>
                <c:pt idx="20">
                  <c:v>420</c:v>
                </c:pt>
                <c:pt idx="21">
                  <c:v>463</c:v>
                </c:pt>
                <c:pt idx="22">
                  <c:v>486</c:v>
                </c:pt>
                <c:pt idx="23">
                  <c:v>519</c:v>
                </c:pt>
                <c:pt idx="24">
                  <c:v>549</c:v>
                </c:pt>
                <c:pt idx="25">
                  <c:v>596</c:v>
                </c:pt>
              </c:numCache>
            </c:numRef>
          </c:val>
        </c:ser>
        <c:ser>
          <c:idx val="7"/>
          <c:order val="6"/>
          <c:tx>
            <c:strRef>
              <c:f>'Disease prevalence'!$C$21</c:f>
              <c:strCache>
                <c:ptCount val="1"/>
                <c:pt idx="0">
                  <c:v>NaturalDeath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prevalence'!$F$2:$AE$2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'Disease prevalence'!$F$21:$AE$21</c:f>
              <c:numCache>
                <c:formatCode>General</c:formatCode>
                <c:ptCount val="26"/>
                <c:pt idx="0">
                  <c:v>0</c:v>
                </c:pt>
                <c:pt idx="1">
                  <c:v>176</c:v>
                </c:pt>
                <c:pt idx="2">
                  <c:v>343</c:v>
                </c:pt>
                <c:pt idx="3">
                  <c:v>499</c:v>
                </c:pt>
                <c:pt idx="4">
                  <c:v>666</c:v>
                </c:pt>
                <c:pt idx="5">
                  <c:v>875</c:v>
                </c:pt>
                <c:pt idx="6">
                  <c:v>1053</c:v>
                </c:pt>
                <c:pt idx="7">
                  <c:v>1270</c:v>
                </c:pt>
                <c:pt idx="8">
                  <c:v>1485</c:v>
                </c:pt>
                <c:pt idx="9">
                  <c:v>1684</c:v>
                </c:pt>
                <c:pt idx="10">
                  <c:v>1874</c:v>
                </c:pt>
                <c:pt idx="11">
                  <c:v>2062</c:v>
                </c:pt>
                <c:pt idx="12">
                  <c:v>2244</c:v>
                </c:pt>
                <c:pt idx="13">
                  <c:v>2438</c:v>
                </c:pt>
                <c:pt idx="14">
                  <c:v>2617</c:v>
                </c:pt>
                <c:pt idx="15">
                  <c:v>2799</c:v>
                </c:pt>
                <c:pt idx="16">
                  <c:v>2959</c:v>
                </c:pt>
                <c:pt idx="17">
                  <c:v>3136</c:v>
                </c:pt>
                <c:pt idx="18">
                  <c:v>3319</c:v>
                </c:pt>
                <c:pt idx="19">
                  <c:v>3467</c:v>
                </c:pt>
                <c:pt idx="20">
                  <c:v>3607</c:v>
                </c:pt>
                <c:pt idx="21">
                  <c:v>3778</c:v>
                </c:pt>
                <c:pt idx="22">
                  <c:v>3963</c:v>
                </c:pt>
                <c:pt idx="23">
                  <c:v>4139</c:v>
                </c:pt>
                <c:pt idx="24">
                  <c:v>4299</c:v>
                </c:pt>
                <c:pt idx="25">
                  <c:v>4449</c:v>
                </c:pt>
              </c:numCache>
            </c:numRef>
          </c:val>
        </c:ser>
        <c:ser>
          <c:idx val="8"/>
          <c:order val="7"/>
          <c:tx>
            <c:strRef>
              <c:f>'Disease prevalence'!$C$22</c:f>
              <c:strCache>
                <c:ptCount val="1"/>
                <c:pt idx="0">
                  <c:v>OtherDeath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prevalence'!$F$2:$AE$2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'Disease prevalence'!$F$22:$AE$22</c:f>
              <c:numCache>
                <c:formatCode>General</c:formatCode>
                <c:ptCount val="26"/>
                <c:pt idx="0">
                  <c:v>0</c:v>
                </c:pt>
                <c:pt idx="1">
                  <c:v>81</c:v>
                </c:pt>
                <c:pt idx="2">
                  <c:v>182</c:v>
                </c:pt>
                <c:pt idx="3">
                  <c:v>296</c:v>
                </c:pt>
                <c:pt idx="4">
                  <c:v>390</c:v>
                </c:pt>
                <c:pt idx="5">
                  <c:v>512</c:v>
                </c:pt>
                <c:pt idx="6">
                  <c:v>624</c:v>
                </c:pt>
                <c:pt idx="7">
                  <c:v>751</c:v>
                </c:pt>
                <c:pt idx="8">
                  <c:v>861</c:v>
                </c:pt>
                <c:pt idx="9">
                  <c:v>993</c:v>
                </c:pt>
                <c:pt idx="10">
                  <c:v>1115</c:v>
                </c:pt>
                <c:pt idx="11">
                  <c:v>1262</c:v>
                </c:pt>
                <c:pt idx="12">
                  <c:v>1395</c:v>
                </c:pt>
                <c:pt idx="13">
                  <c:v>1535</c:v>
                </c:pt>
                <c:pt idx="14">
                  <c:v>1682</c:v>
                </c:pt>
                <c:pt idx="15">
                  <c:v>1833</c:v>
                </c:pt>
                <c:pt idx="16">
                  <c:v>1978</c:v>
                </c:pt>
                <c:pt idx="17">
                  <c:v>2114</c:v>
                </c:pt>
                <c:pt idx="18">
                  <c:v>2255</c:v>
                </c:pt>
                <c:pt idx="19">
                  <c:v>2412</c:v>
                </c:pt>
                <c:pt idx="20">
                  <c:v>2600</c:v>
                </c:pt>
                <c:pt idx="21">
                  <c:v>2755</c:v>
                </c:pt>
                <c:pt idx="22">
                  <c:v>2958</c:v>
                </c:pt>
                <c:pt idx="23">
                  <c:v>3136</c:v>
                </c:pt>
                <c:pt idx="24">
                  <c:v>3318</c:v>
                </c:pt>
                <c:pt idx="25">
                  <c:v>3498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557376"/>
        <c:axId val="187558912"/>
      </c:areaChart>
      <c:catAx>
        <c:axId val="187557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7558912"/>
        <c:crosses val="autoZero"/>
        <c:auto val="1"/>
        <c:lblAlgn val="ctr"/>
        <c:lblOffset val="100"/>
        <c:noMultiLvlLbl val="0"/>
      </c:catAx>
      <c:valAx>
        <c:axId val="18755891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875573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898250029761396"/>
          <c:y val="0.14612984697667508"/>
          <c:w val="0.20802523328835523"/>
          <c:h val="0.72786569603327889"/>
        </c:manualLayout>
      </c:layout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514350</xdr:colOff>
      <xdr:row>1</xdr:row>
      <xdr:rowOff>104774</xdr:rowOff>
    </xdr:from>
    <xdr:to>
      <xdr:col>15</xdr:col>
      <xdr:colOff>28575</xdr:colOff>
      <xdr:row>14</xdr:row>
      <xdr:rowOff>152399</xdr:rowOff>
    </xdr:to>
    <xdr:graphicFrame macro="">
      <xdr:nvGraphicFramePr>
        <xdr:cNvPr id="4" name="Grafiek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161925</xdr:colOff>
      <xdr:row>22</xdr:row>
      <xdr:rowOff>19050</xdr:rowOff>
    </xdr:from>
    <xdr:to>
      <xdr:col>12</xdr:col>
      <xdr:colOff>381000</xdr:colOff>
      <xdr:row>31</xdr:row>
      <xdr:rowOff>66675</xdr:rowOff>
    </xdr:to>
    <xdr:graphicFrame macro="">
      <xdr:nvGraphicFramePr>
        <xdr:cNvPr id="5" name="Grafiek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8</xdr:row>
      <xdr:rowOff>19050</xdr:rowOff>
    </xdr:from>
    <xdr:to>
      <xdr:col>21</xdr:col>
      <xdr:colOff>257175</xdr:colOff>
      <xdr:row>21</xdr:row>
      <xdr:rowOff>66675</xdr:rowOff>
    </xdr:to>
    <xdr:graphicFrame macro="">
      <xdr:nvGraphicFramePr>
        <xdr:cNvPr id="7" name="Grafiek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B1:AE69"/>
  <sheetViews>
    <sheetView workbookViewId="0">
      <selection activeCell="AF19" sqref="AF19"/>
    </sheetView>
  </sheetViews>
  <sheetFormatPr defaultRowHeight="15" x14ac:dyDescent="0.25"/>
  <cols>
    <col min="2" max="2" width="9.140625" style="1"/>
    <col min="3" max="3" width="14.5703125" bestFit="1" customWidth="1"/>
    <col min="12" max="12" width="9.42578125" customWidth="1"/>
  </cols>
  <sheetData>
    <row r="1" spans="2:31" x14ac:dyDescent="0.25">
      <c r="F1">
        <v>2010</v>
      </c>
      <c r="G1">
        <v>2011</v>
      </c>
      <c r="H1">
        <v>2012</v>
      </c>
      <c r="I1">
        <v>2013</v>
      </c>
      <c r="J1">
        <v>2014</v>
      </c>
      <c r="K1">
        <v>2015</v>
      </c>
      <c r="L1">
        <v>2016</v>
      </c>
      <c r="M1">
        <v>2017</v>
      </c>
      <c r="N1">
        <v>2018</v>
      </c>
      <c r="O1">
        <v>2019</v>
      </c>
      <c r="P1">
        <v>2020</v>
      </c>
      <c r="Q1">
        <v>2021</v>
      </c>
      <c r="R1">
        <v>2022</v>
      </c>
      <c r="S1">
        <v>2023</v>
      </c>
      <c r="T1">
        <v>2024</v>
      </c>
      <c r="U1">
        <v>2025</v>
      </c>
      <c r="V1">
        <v>2026</v>
      </c>
      <c r="W1">
        <v>2027</v>
      </c>
      <c r="X1">
        <v>2028</v>
      </c>
      <c r="Y1">
        <v>2029</v>
      </c>
      <c r="Z1">
        <v>2030</v>
      </c>
      <c r="AA1">
        <v>2031</v>
      </c>
      <c r="AB1">
        <v>2032</v>
      </c>
      <c r="AC1">
        <v>2033</v>
      </c>
      <c r="AD1">
        <v>2034</v>
      </c>
      <c r="AE1">
        <v>2035</v>
      </c>
    </row>
    <row r="2" spans="2:31" x14ac:dyDescent="0.25">
      <c r="B2" s="1" t="s">
        <v>23</v>
      </c>
      <c r="C2" s="1" t="s">
        <v>0</v>
      </c>
      <c r="D2" t="s">
        <v>37</v>
      </c>
      <c r="E2" t="s">
        <v>37</v>
      </c>
      <c r="F2">
        <v>0</v>
      </c>
      <c r="G2">
        <v>1</v>
      </c>
      <c r="H2">
        <v>2</v>
      </c>
      <c r="I2">
        <v>3</v>
      </c>
      <c r="J2">
        <v>4</v>
      </c>
      <c r="K2">
        <v>5</v>
      </c>
      <c r="L2">
        <v>6</v>
      </c>
      <c r="M2">
        <v>7</v>
      </c>
      <c r="N2">
        <v>8</v>
      </c>
      <c r="O2">
        <v>9</v>
      </c>
      <c r="P2">
        <v>10</v>
      </c>
      <c r="Q2">
        <v>11</v>
      </c>
      <c r="R2">
        <v>12</v>
      </c>
      <c r="S2">
        <v>13</v>
      </c>
      <c r="T2">
        <v>14</v>
      </c>
      <c r="U2">
        <v>15</v>
      </c>
      <c r="V2">
        <v>16</v>
      </c>
      <c r="W2">
        <v>17</v>
      </c>
      <c r="X2">
        <v>18</v>
      </c>
      <c r="Y2">
        <v>19</v>
      </c>
      <c r="Z2">
        <v>20</v>
      </c>
      <c r="AA2">
        <v>21</v>
      </c>
      <c r="AB2">
        <v>22</v>
      </c>
      <c r="AC2">
        <v>23</v>
      </c>
      <c r="AD2">
        <v>24</v>
      </c>
      <c r="AE2">
        <v>25</v>
      </c>
    </row>
    <row r="4" spans="2:31" x14ac:dyDescent="0.25">
      <c r="C4" t="s">
        <v>1</v>
      </c>
      <c r="D4">
        <v>22400</v>
      </c>
      <c r="E4">
        <v>416</v>
      </c>
      <c r="F4">
        <v>416</v>
      </c>
      <c r="G4">
        <v>416</v>
      </c>
      <c r="H4">
        <v>416</v>
      </c>
      <c r="I4">
        <v>416</v>
      </c>
      <c r="J4">
        <v>416</v>
      </c>
      <c r="K4">
        <v>416</v>
      </c>
      <c r="L4">
        <v>416</v>
      </c>
      <c r="M4">
        <v>416</v>
      </c>
      <c r="N4">
        <v>416</v>
      </c>
      <c r="O4">
        <v>416</v>
      </c>
      <c r="P4">
        <v>416</v>
      </c>
      <c r="Q4">
        <v>416</v>
      </c>
      <c r="R4">
        <v>416</v>
      </c>
      <c r="S4">
        <v>416</v>
      </c>
      <c r="T4">
        <v>416</v>
      </c>
      <c r="U4">
        <v>416</v>
      </c>
      <c r="V4">
        <v>416</v>
      </c>
      <c r="W4">
        <v>416</v>
      </c>
      <c r="X4">
        <v>416</v>
      </c>
      <c r="Y4">
        <v>416</v>
      </c>
      <c r="Z4">
        <v>416</v>
      </c>
      <c r="AA4">
        <v>416</v>
      </c>
      <c r="AB4">
        <v>416</v>
      </c>
      <c r="AC4">
        <v>416</v>
      </c>
      <c r="AD4">
        <v>416</v>
      </c>
      <c r="AE4">
        <v>0</v>
      </c>
    </row>
    <row r="5" spans="2:31" x14ac:dyDescent="0.25">
      <c r="C5" t="s">
        <v>2</v>
      </c>
      <c r="D5">
        <v>0</v>
      </c>
      <c r="E5">
        <v>22400</v>
      </c>
      <c r="F5">
        <v>416</v>
      </c>
      <c r="G5">
        <v>416</v>
      </c>
      <c r="H5">
        <v>416</v>
      </c>
      <c r="I5">
        <v>416</v>
      </c>
      <c r="J5">
        <v>416</v>
      </c>
      <c r="K5">
        <v>416</v>
      </c>
      <c r="L5">
        <v>416</v>
      </c>
      <c r="M5">
        <v>416</v>
      </c>
      <c r="N5">
        <v>416</v>
      </c>
      <c r="O5">
        <v>416</v>
      </c>
      <c r="P5">
        <v>416</v>
      </c>
      <c r="Q5">
        <v>416</v>
      </c>
      <c r="R5">
        <v>416</v>
      </c>
      <c r="S5">
        <v>416</v>
      </c>
      <c r="T5">
        <v>416</v>
      </c>
      <c r="U5">
        <v>416</v>
      </c>
      <c r="V5">
        <v>416</v>
      </c>
      <c r="W5">
        <v>416</v>
      </c>
      <c r="X5">
        <v>416</v>
      </c>
      <c r="Y5">
        <v>416</v>
      </c>
      <c r="Z5">
        <v>416</v>
      </c>
      <c r="AA5">
        <v>416</v>
      </c>
      <c r="AB5">
        <v>416</v>
      </c>
      <c r="AC5">
        <v>416</v>
      </c>
      <c r="AD5">
        <v>416</v>
      </c>
      <c r="AE5">
        <v>416</v>
      </c>
    </row>
    <row r="6" spans="2:31" x14ac:dyDescent="0.25">
      <c r="C6" t="s">
        <v>5</v>
      </c>
      <c r="D6">
        <v>0</v>
      </c>
      <c r="E6">
        <v>0</v>
      </c>
      <c r="F6">
        <v>15710</v>
      </c>
      <c r="G6">
        <v>15772</v>
      </c>
      <c r="H6">
        <v>15867</v>
      </c>
      <c r="I6">
        <v>15945</v>
      </c>
      <c r="J6">
        <v>15998</v>
      </c>
      <c r="K6">
        <v>16118</v>
      </c>
      <c r="L6">
        <v>16205</v>
      </c>
      <c r="M6">
        <v>16297</v>
      </c>
      <c r="N6">
        <v>16347</v>
      </c>
      <c r="O6">
        <v>16375</v>
      </c>
      <c r="P6">
        <v>16463</v>
      </c>
      <c r="Q6">
        <v>16542</v>
      </c>
      <c r="R6">
        <v>16578</v>
      </c>
      <c r="S6">
        <v>16640</v>
      </c>
      <c r="T6">
        <v>16679</v>
      </c>
      <c r="U6">
        <v>16697</v>
      </c>
      <c r="V6">
        <v>16756</v>
      </c>
      <c r="W6">
        <v>16785</v>
      </c>
      <c r="X6">
        <v>16809</v>
      </c>
      <c r="Y6">
        <v>16870</v>
      </c>
      <c r="Z6">
        <v>16882</v>
      </c>
      <c r="AA6">
        <v>16942</v>
      </c>
      <c r="AB6">
        <v>16908</v>
      </c>
      <c r="AC6">
        <v>16963</v>
      </c>
      <c r="AD6">
        <v>16983</v>
      </c>
      <c r="AE6">
        <v>16965</v>
      </c>
    </row>
    <row r="7" spans="2:31" x14ac:dyDescent="0.25">
      <c r="C7" t="s">
        <v>3</v>
      </c>
      <c r="D7">
        <v>0</v>
      </c>
      <c r="E7">
        <v>0</v>
      </c>
      <c r="F7">
        <v>5220</v>
      </c>
      <c r="G7">
        <v>5334</v>
      </c>
      <c r="H7">
        <v>5427</v>
      </c>
      <c r="I7">
        <v>5522</v>
      </c>
      <c r="J7">
        <v>5640</v>
      </c>
      <c r="K7">
        <v>5720</v>
      </c>
      <c r="L7">
        <v>5764</v>
      </c>
      <c r="M7">
        <v>5796</v>
      </c>
      <c r="N7">
        <v>5856</v>
      </c>
      <c r="O7">
        <v>5919</v>
      </c>
      <c r="P7">
        <v>5992</v>
      </c>
      <c r="Q7">
        <v>6045</v>
      </c>
      <c r="R7">
        <v>6111</v>
      </c>
      <c r="S7">
        <v>6129</v>
      </c>
      <c r="T7">
        <v>6182</v>
      </c>
      <c r="U7">
        <v>6225</v>
      </c>
      <c r="V7">
        <v>6232</v>
      </c>
      <c r="W7">
        <v>6234</v>
      </c>
      <c r="X7">
        <v>6287</v>
      </c>
      <c r="Y7">
        <v>6294</v>
      </c>
      <c r="Z7">
        <v>6331</v>
      </c>
      <c r="AA7">
        <v>6313</v>
      </c>
      <c r="AB7">
        <v>6339</v>
      </c>
      <c r="AC7">
        <v>6318</v>
      </c>
      <c r="AD7">
        <v>6328</v>
      </c>
      <c r="AE7">
        <v>6334</v>
      </c>
    </row>
    <row r="8" spans="2:31" x14ac:dyDescent="0.25">
      <c r="C8" t="s">
        <v>4</v>
      </c>
      <c r="D8">
        <v>0</v>
      </c>
      <c r="E8">
        <v>0</v>
      </c>
      <c r="F8">
        <v>1340</v>
      </c>
      <c r="G8">
        <v>1366</v>
      </c>
      <c r="H8">
        <v>1389</v>
      </c>
      <c r="I8">
        <v>1386</v>
      </c>
      <c r="J8">
        <v>1384</v>
      </c>
      <c r="K8">
        <v>1380</v>
      </c>
      <c r="L8">
        <v>1370</v>
      </c>
      <c r="M8">
        <v>1383</v>
      </c>
      <c r="N8">
        <v>1395</v>
      </c>
      <c r="O8">
        <v>1397</v>
      </c>
      <c r="P8">
        <v>1369</v>
      </c>
      <c r="Q8">
        <v>1361</v>
      </c>
      <c r="R8">
        <v>1362</v>
      </c>
      <c r="S8">
        <v>1361</v>
      </c>
      <c r="T8">
        <v>1372</v>
      </c>
      <c r="U8">
        <v>1389</v>
      </c>
      <c r="V8">
        <v>1401</v>
      </c>
      <c r="W8">
        <v>1400</v>
      </c>
      <c r="X8">
        <v>1396</v>
      </c>
      <c r="Y8">
        <v>1393</v>
      </c>
      <c r="Z8">
        <v>1376</v>
      </c>
      <c r="AA8">
        <v>1374</v>
      </c>
      <c r="AB8">
        <v>1361</v>
      </c>
      <c r="AC8">
        <v>1367</v>
      </c>
      <c r="AD8">
        <v>1363</v>
      </c>
      <c r="AE8">
        <v>1376</v>
      </c>
    </row>
    <row r="9" spans="2:31" x14ac:dyDescent="0.25">
      <c r="C9" t="s">
        <v>6</v>
      </c>
      <c r="D9">
        <v>0</v>
      </c>
      <c r="E9">
        <v>0</v>
      </c>
      <c r="F9">
        <v>125</v>
      </c>
      <c r="G9">
        <v>132</v>
      </c>
      <c r="H9">
        <v>139</v>
      </c>
      <c r="I9">
        <v>155</v>
      </c>
      <c r="J9">
        <v>154</v>
      </c>
      <c r="K9">
        <v>161</v>
      </c>
      <c r="L9">
        <v>171</v>
      </c>
      <c r="M9">
        <v>174</v>
      </c>
      <c r="N9">
        <v>177</v>
      </c>
      <c r="O9">
        <v>176</v>
      </c>
      <c r="P9">
        <v>181</v>
      </c>
      <c r="Q9">
        <v>186</v>
      </c>
      <c r="R9">
        <v>193</v>
      </c>
      <c r="S9">
        <v>197</v>
      </c>
      <c r="T9">
        <v>198</v>
      </c>
      <c r="U9">
        <v>200</v>
      </c>
      <c r="V9">
        <v>208</v>
      </c>
      <c r="W9">
        <v>220</v>
      </c>
      <c r="X9">
        <v>226</v>
      </c>
      <c r="Y9">
        <v>231</v>
      </c>
      <c r="Z9">
        <v>240</v>
      </c>
      <c r="AA9">
        <v>245</v>
      </c>
      <c r="AB9">
        <v>252</v>
      </c>
      <c r="AC9">
        <v>261</v>
      </c>
      <c r="AD9">
        <v>259</v>
      </c>
      <c r="AE9">
        <v>254</v>
      </c>
    </row>
    <row r="10" spans="2:31" x14ac:dyDescent="0.25">
      <c r="C10" t="s">
        <v>7</v>
      </c>
      <c r="D10">
        <v>0</v>
      </c>
      <c r="E10">
        <v>0</v>
      </c>
      <c r="F10">
        <v>5</v>
      </c>
      <c r="G10">
        <v>5</v>
      </c>
      <c r="H10">
        <v>6</v>
      </c>
      <c r="I10">
        <v>4</v>
      </c>
      <c r="J10">
        <v>6</v>
      </c>
      <c r="K10">
        <v>6</v>
      </c>
      <c r="L10">
        <v>6</v>
      </c>
      <c r="M10">
        <v>5</v>
      </c>
      <c r="N10">
        <v>9</v>
      </c>
      <c r="O10">
        <v>9</v>
      </c>
      <c r="P10">
        <v>7</v>
      </c>
      <c r="Q10">
        <v>6</v>
      </c>
      <c r="R10">
        <v>6</v>
      </c>
      <c r="S10">
        <v>7</v>
      </c>
      <c r="T10">
        <v>9</v>
      </c>
      <c r="U10">
        <v>7</v>
      </c>
      <c r="V10">
        <v>9</v>
      </c>
      <c r="W10">
        <v>6</v>
      </c>
      <c r="X10">
        <v>5</v>
      </c>
      <c r="Y10">
        <v>8</v>
      </c>
      <c r="Z10">
        <v>9</v>
      </c>
      <c r="AA10">
        <v>8</v>
      </c>
      <c r="AB10">
        <v>10</v>
      </c>
      <c r="AC10">
        <v>11</v>
      </c>
      <c r="AD10">
        <v>11</v>
      </c>
      <c r="AE10">
        <v>11</v>
      </c>
    </row>
    <row r="11" spans="2:31" x14ac:dyDescent="0.25">
      <c r="C11" t="s">
        <v>8</v>
      </c>
      <c r="D11">
        <v>0</v>
      </c>
      <c r="E11">
        <v>0</v>
      </c>
      <c r="F11">
        <v>0</v>
      </c>
      <c r="G11">
        <v>8</v>
      </c>
      <c r="H11">
        <v>23</v>
      </c>
      <c r="I11">
        <v>33</v>
      </c>
      <c r="J11">
        <v>45</v>
      </c>
      <c r="K11">
        <v>58</v>
      </c>
      <c r="L11">
        <v>70</v>
      </c>
      <c r="M11">
        <v>84</v>
      </c>
      <c r="N11">
        <v>97</v>
      </c>
      <c r="O11">
        <v>115</v>
      </c>
      <c r="P11">
        <v>133</v>
      </c>
      <c r="Q11">
        <v>148</v>
      </c>
      <c r="R11">
        <v>157</v>
      </c>
      <c r="S11">
        <v>166</v>
      </c>
      <c r="T11">
        <v>176</v>
      </c>
      <c r="U11">
        <v>198</v>
      </c>
      <c r="V11">
        <v>207</v>
      </c>
      <c r="W11">
        <v>221</v>
      </c>
      <c r="X11">
        <v>236</v>
      </c>
      <c r="Y11">
        <v>248</v>
      </c>
      <c r="Z11">
        <v>266</v>
      </c>
      <c r="AA11">
        <v>289</v>
      </c>
      <c r="AB11">
        <v>298</v>
      </c>
      <c r="AC11">
        <v>308</v>
      </c>
      <c r="AD11">
        <v>325</v>
      </c>
      <c r="AE11">
        <v>342</v>
      </c>
    </row>
    <row r="12" spans="2:31" x14ac:dyDescent="0.25">
      <c r="C12" t="s">
        <v>9</v>
      </c>
      <c r="D12">
        <v>0</v>
      </c>
      <c r="E12">
        <v>0</v>
      </c>
      <c r="F12">
        <v>0</v>
      </c>
      <c r="G12">
        <v>196</v>
      </c>
      <c r="H12">
        <v>372</v>
      </c>
      <c r="I12">
        <v>573</v>
      </c>
      <c r="J12">
        <v>795</v>
      </c>
      <c r="K12">
        <v>969</v>
      </c>
      <c r="L12">
        <v>1189</v>
      </c>
      <c r="M12">
        <v>1407</v>
      </c>
      <c r="N12">
        <v>1619</v>
      </c>
      <c r="O12">
        <v>1868</v>
      </c>
      <c r="P12">
        <v>2063</v>
      </c>
      <c r="Q12">
        <v>2260</v>
      </c>
      <c r="R12">
        <v>2472</v>
      </c>
      <c r="S12">
        <v>2700</v>
      </c>
      <c r="T12">
        <v>2917</v>
      </c>
      <c r="U12">
        <v>3152</v>
      </c>
      <c r="V12">
        <v>3386</v>
      </c>
      <c r="W12">
        <v>3617</v>
      </c>
      <c r="X12">
        <v>3819</v>
      </c>
      <c r="Y12">
        <v>4014</v>
      </c>
      <c r="Z12">
        <v>4243</v>
      </c>
      <c r="AA12">
        <v>4458</v>
      </c>
      <c r="AB12">
        <v>4717</v>
      </c>
      <c r="AC12">
        <v>4947</v>
      </c>
      <c r="AD12">
        <v>5158</v>
      </c>
      <c r="AE12">
        <v>5399</v>
      </c>
    </row>
    <row r="13" spans="2:31" x14ac:dyDescent="0.25">
      <c r="C13" t="s">
        <v>10</v>
      </c>
      <c r="D13">
        <v>0</v>
      </c>
      <c r="E13">
        <v>0</v>
      </c>
      <c r="F13">
        <v>0</v>
      </c>
      <c r="G13">
        <v>3</v>
      </c>
      <c r="H13">
        <v>9</v>
      </c>
      <c r="I13">
        <v>30</v>
      </c>
      <c r="J13">
        <v>42</v>
      </c>
      <c r="K13">
        <v>68</v>
      </c>
      <c r="L13">
        <v>121</v>
      </c>
      <c r="M13">
        <v>166</v>
      </c>
      <c r="N13">
        <v>228</v>
      </c>
      <c r="O13">
        <v>285</v>
      </c>
      <c r="P13">
        <v>352</v>
      </c>
      <c r="Q13">
        <v>428</v>
      </c>
      <c r="R13">
        <v>513</v>
      </c>
      <c r="S13">
        <v>608</v>
      </c>
      <c r="T13">
        <v>691</v>
      </c>
      <c r="U13">
        <v>772</v>
      </c>
      <c r="V13">
        <v>857</v>
      </c>
      <c r="W13">
        <v>989</v>
      </c>
      <c r="X13">
        <v>1110</v>
      </c>
      <c r="Y13">
        <v>1246</v>
      </c>
      <c r="Z13">
        <v>1373</v>
      </c>
      <c r="AA13">
        <v>1507</v>
      </c>
      <c r="AB13">
        <v>1667</v>
      </c>
      <c r="AC13">
        <v>1793</v>
      </c>
      <c r="AD13">
        <v>1957</v>
      </c>
      <c r="AE13">
        <v>2119</v>
      </c>
    </row>
    <row r="15" spans="2:31" x14ac:dyDescent="0.25">
      <c r="B15" s="1" t="s">
        <v>22</v>
      </c>
      <c r="C15" t="s">
        <v>5</v>
      </c>
      <c r="F15">
        <f>F69-SUM(F16:F22)</f>
        <v>15613</v>
      </c>
      <c r="G15">
        <f t="shared" ref="G15:AE15" si="0">G69-SUM(G16:G22)</f>
        <v>15254</v>
      </c>
      <c r="H15">
        <f t="shared" si="0"/>
        <v>14866</v>
      </c>
      <c r="I15">
        <f t="shared" si="0"/>
        <v>14507</v>
      </c>
      <c r="J15">
        <f t="shared" si="0"/>
        <v>14246</v>
      </c>
      <c r="K15">
        <f t="shared" si="0"/>
        <v>13896</v>
      </c>
      <c r="L15">
        <f t="shared" si="0"/>
        <v>13636</v>
      </c>
      <c r="M15">
        <f t="shared" si="0"/>
        <v>13295</v>
      </c>
      <c r="N15">
        <f t="shared" si="0"/>
        <v>13044</v>
      </c>
      <c r="O15">
        <f t="shared" si="0"/>
        <v>12806</v>
      </c>
      <c r="P15">
        <f t="shared" si="0"/>
        <v>12590</v>
      </c>
      <c r="Q15">
        <f t="shared" si="0"/>
        <v>12360</v>
      </c>
      <c r="R15">
        <f t="shared" si="0"/>
        <v>12144</v>
      </c>
      <c r="S15">
        <f t="shared" si="0"/>
        <v>11921</v>
      </c>
      <c r="T15">
        <f t="shared" si="0"/>
        <v>11723</v>
      </c>
      <c r="U15">
        <f t="shared" si="0"/>
        <v>11500</v>
      </c>
      <c r="V15">
        <f t="shared" si="0"/>
        <v>11391</v>
      </c>
      <c r="W15">
        <f t="shared" si="0"/>
        <v>11256</v>
      </c>
      <c r="X15">
        <f t="shared" si="0"/>
        <v>11097</v>
      </c>
      <c r="Y15">
        <f t="shared" si="0"/>
        <v>10998</v>
      </c>
      <c r="Z15">
        <f t="shared" si="0"/>
        <v>10898</v>
      </c>
      <c r="AA15">
        <f t="shared" si="0"/>
        <v>10748</v>
      </c>
      <c r="AB15">
        <f t="shared" si="0"/>
        <v>10629</v>
      </c>
      <c r="AC15">
        <f t="shared" si="0"/>
        <v>10516</v>
      </c>
      <c r="AD15">
        <f t="shared" si="0"/>
        <v>10444</v>
      </c>
      <c r="AE15">
        <f t="shared" si="0"/>
        <v>10370</v>
      </c>
    </row>
    <row r="16" spans="2:31" x14ac:dyDescent="0.25">
      <c r="C16" t="s">
        <v>3</v>
      </c>
      <c r="F16">
        <v>5317</v>
      </c>
      <c r="G16">
        <v>5727</v>
      </c>
      <c r="H16">
        <v>6132</v>
      </c>
      <c r="I16">
        <v>6482</v>
      </c>
      <c r="J16">
        <v>6739</v>
      </c>
      <c r="K16">
        <v>7026</v>
      </c>
      <c r="L16">
        <v>7243</v>
      </c>
      <c r="M16">
        <v>7511</v>
      </c>
      <c r="N16">
        <v>7693</v>
      </c>
      <c r="O16">
        <v>7859</v>
      </c>
      <c r="P16">
        <v>8009</v>
      </c>
      <c r="Q16">
        <v>8158</v>
      </c>
      <c r="R16">
        <v>8315</v>
      </c>
      <c r="S16">
        <v>8460</v>
      </c>
      <c r="T16">
        <v>8600</v>
      </c>
      <c r="U16">
        <v>8759</v>
      </c>
      <c r="V16">
        <v>8797</v>
      </c>
      <c r="W16">
        <v>8858</v>
      </c>
      <c r="X16">
        <v>8947</v>
      </c>
      <c r="Y16">
        <v>8993</v>
      </c>
      <c r="Z16">
        <v>9041</v>
      </c>
      <c r="AA16">
        <v>9142</v>
      </c>
      <c r="AB16">
        <v>9161</v>
      </c>
      <c r="AC16">
        <v>9186</v>
      </c>
      <c r="AD16">
        <v>9210</v>
      </c>
      <c r="AE16">
        <v>9233</v>
      </c>
    </row>
    <row r="17" spans="2:31" x14ac:dyDescent="0.25">
      <c r="C17" t="s">
        <v>4</v>
      </c>
      <c r="F17">
        <v>1330</v>
      </c>
      <c r="G17">
        <v>1426</v>
      </c>
      <c r="H17">
        <v>1538</v>
      </c>
      <c r="I17">
        <v>1664</v>
      </c>
      <c r="J17">
        <v>1800</v>
      </c>
      <c r="K17">
        <v>1923</v>
      </c>
      <c r="L17">
        <v>2064</v>
      </c>
      <c r="M17">
        <v>2188</v>
      </c>
      <c r="N17">
        <v>2316</v>
      </c>
      <c r="O17">
        <v>2444</v>
      </c>
      <c r="P17">
        <v>2581</v>
      </c>
      <c r="Q17">
        <v>2709</v>
      </c>
      <c r="R17">
        <v>2835</v>
      </c>
      <c r="S17">
        <v>2962</v>
      </c>
      <c r="T17">
        <v>3064</v>
      </c>
      <c r="U17">
        <v>3174</v>
      </c>
      <c r="V17">
        <v>3299</v>
      </c>
      <c r="W17">
        <v>3422</v>
      </c>
      <c r="X17">
        <v>3540</v>
      </c>
      <c r="Y17">
        <v>3655</v>
      </c>
      <c r="Z17">
        <v>3746</v>
      </c>
      <c r="AA17">
        <v>3844</v>
      </c>
      <c r="AB17">
        <v>3937</v>
      </c>
      <c r="AC17">
        <v>4030</v>
      </c>
      <c r="AD17">
        <v>4102</v>
      </c>
      <c r="AE17">
        <v>4191</v>
      </c>
    </row>
    <row r="18" spans="2:31" x14ac:dyDescent="0.25">
      <c r="C18" t="s">
        <v>6</v>
      </c>
      <c r="F18">
        <v>132</v>
      </c>
      <c r="G18">
        <v>134</v>
      </c>
      <c r="H18">
        <v>137</v>
      </c>
      <c r="I18">
        <v>153</v>
      </c>
      <c r="J18">
        <v>166</v>
      </c>
      <c r="K18">
        <v>171</v>
      </c>
      <c r="L18">
        <v>183</v>
      </c>
      <c r="M18">
        <v>192</v>
      </c>
      <c r="N18">
        <v>211</v>
      </c>
      <c r="O18">
        <v>215</v>
      </c>
      <c r="P18">
        <v>228</v>
      </c>
      <c r="Q18">
        <v>238</v>
      </c>
      <c r="R18">
        <v>255</v>
      </c>
      <c r="S18">
        <v>262</v>
      </c>
      <c r="T18">
        <v>288</v>
      </c>
      <c r="U18">
        <v>300</v>
      </c>
      <c r="V18">
        <v>329</v>
      </c>
      <c r="W18">
        <v>358</v>
      </c>
      <c r="X18">
        <v>372</v>
      </c>
      <c r="Y18">
        <v>377</v>
      </c>
      <c r="Z18">
        <v>390</v>
      </c>
      <c r="AA18">
        <v>391</v>
      </c>
      <c r="AB18">
        <v>401</v>
      </c>
      <c r="AC18">
        <v>431</v>
      </c>
      <c r="AD18">
        <v>448</v>
      </c>
      <c r="AE18">
        <v>450</v>
      </c>
    </row>
    <row r="19" spans="2:31" x14ac:dyDescent="0.25">
      <c r="C19" t="s">
        <v>7</v>
      </c>
      <c r="F19">
        <v>8</v>
      </c>
      <c r="G19">
        <v>2</v>
      </c>
      <c r="H19">
        <v>3</v>
      </c>
      <c r="I19">
        <v>6</v>
      </c>
      <c r="J19">
        <v>3</v>
      </c>
      <c r="K19">
        <v>3</v>
      </c>
      <c r="L19">
        <v>2</v>
      </c>
      <c r="M19">
        <v>4</v>
      </c>
      <c r="N19">
        <v>4</v>
      </c>
      <c r="O19">
        <v>9</v>
      </c>
      <c r="P19">
        <v>9</v>
      </c>
      <c r="Q19">
        <v>6</v>
      </c>
      <c r="R19">
        <v>7</v>
      </c>
      <c r="S19">
        <v>11</v>
      </c>
      <c r="T19">
        <v>8</v>
      </c>
      <c r="U19">
        <v>4</v>
      </c>
      <c r="V19">
        <v>9</v>
      </c>
      <c r="W19">
        <v>12</v>
      </c>
      <c r="X19">
        <v>11</v>
      </c>
      <c r="Y19">
        <v>18</v>
      </c>
      <c r="Z19">
        <v>18</v>
      </c>
      <c r="AA19">
        <v>15</v>
      </c>
      <c r="AB19">
        <v>17</v>
      </c>
      <c r="AC19">
        <v>11</v>
      </c>
      <c r="AD19">
        <v>14</v>
      </c>
      <c r="AE19">
        <v>13</v>
      </c>
    </row>
    <row r="20" spans="2:31" x14ac:dyDescent="0.25">
      <c r="C20" t="s">
        <v>8</v>
      </c>
      <c r="F20">
        <v>0</v>
      </c>
      <c r="G20">
        <v>16</v>
      </c>
      <c r="H20">
        <v>31</v>
      </c>
      <c r="I20">
        <v>41</v>
      </c>
      <c r="J20">
        <v>54</v>
      </c>
      <c r="K20">
        <v>74</v>
      </c>
      <c r="L20">
        <v>91</v>
      </c>
      <c r="M20">
        <v>101</v>
      </c>
      <c r="N20">
        <v>114</v>
      </c>
      <c r="O20">
        <v>134</v>
      </c>
      <c r="P20">
        <v>154</v>
      </c>
      <c r="Q20">
        <v>181</v>
      </c>
      <c r="R20">
        <v>197</v>
      </c>
      <c r="S20">
        <v>219</v>
      </c>
      <c r="T20">
        <v>242</v>
      </c>
      <c r="U20">
        <v>271</v>
      </c>
      <c r="V20">
        <v>294</v>
      </c>
      <c r="W20">
        <v>316</v>
      </c>
      <c r="X20">
        <v>347</v>
      </c>
      <c r="Y20">
        <v>384</v>
      </c>
      <c r="Z20">
        <v>420</v>
      </c>
      <c r="AA20">
        <v>463</v>
      </c>
      <c r="AB20">
        <v>486</v>
      </c>
      <c r="AC20">
        <v>519</v>
      </c>
      <c r="AD20">
        <v>549</v>
      </c>
      <c r="AE20">
        <v>596</v>
      </c>
    </row>
    <row r="21" spans="2:31" x14ac:dyDescent="0.25">
      <c r="C21" t="s">
        <v>9</v>
      </c>
      <c r="F21">
        <v>0</v>
      </c>
      <c r="G21">
        <v>176</v>
      </c>
      <c r="H21">
        <v>343</v>
      </c>
      <c r="I21">
        <v>499</v>
      </c>
      <c r="J21">
        <v>666</v>
      </c>
      <c r="K21">
        <v>875</v>
      </c>
      <c r="L21">
        <v>1053</v>
      </c>
      <c r="M21">
        <v>1270</v>
      </c>
      <c r="N21">
        <v>1485</v>
      </c>
      <c r="O21">
        <v>1684</v>
      </c>
      <c r="P21">
        <v>1874</v>
      </c>
      <c r="Q21">
        <v>2062</v>
      </c>
      <c r="R21">
        <v>2244</v>
      </c>
      <c r="S21">
        <v>2438</v>
      </c>
      <c r="T21">
        <v>2617</v>
      </c>
      <c r="U21">
        <v>2799</v>
      </c>
      <c r="V21">
        <v>2959</v>
      </c>
      <c r="W21">
        <v>3136</v>
      </c>
      <c r="X21">
        <v>3319</v>
      </c>
      <c r="Y21">
        <v>3467</v>
      </c>
      <c r="Z21">
        <v>3607</v>
      </c>
      <c r="AA21">
        <v>3778</v>
      </c>
      <c r="AB21">
        <v>3963</v>
      </c>
      <c r="AC21">
        <v>4139</v>
      </c>
      <c r="AD21">
        <v>4299</v>
      </c>
      <c r="AE21">
        <v>4449</v>
      </c>
    </row>
    <row r="22" spans="2:31" x14ac:dyDescent="0.25">
      <c r="C22" t="s">
        <v>10</v>
      </c>
      <c r="F22">
        <v>0</v>
      </c>
      <c r="G22">
        <f>G66-SUM(G20:G21)</f>
        <v>81</v>
      </c>
      <c r="H22">
        <f t="shared" ref="H22:AE22" si="1">H66-SUM(H20:H21)</f>
        <v>182</v>
      </c>
      <c r="I22">
        <f t="shared" si="1"/>
        <v>296</v>
      </c>
      <c r="J22">
        <f t="shared" si="1"/>
        <v>390</v>
      </c>
      <c r="K22">
        <f t="shared" si="1"/>
        <v>512</v>
      </c>
      <c r="L22">
        <f t="shared" si="1"/>
        <v>624</v>
      </c>
      <c r="M22">
        <f t="shared" si="1"/>
        <v>751</v>
      </c>
      <c r="N22">
        <f t="shared" si="1"/>
        <v>861</v>
      </c>
      <c r="O22">
        <f t="shared" si="1"/>
        <v>993</v>
      </c>
      <c r="P22">
        <f t="shared" si="1"/>
        <v>1115</v>
      </c>
      <c r="Q22">
        <f t="shared" si="1"/>
        <v>1262</v>
      </c>
      <c r="R22">
        <f t="shared" si="1"/>
        <v>1395</v>
      </c>
      <c r="S22">
        <f t="shared" si="1"/>
        <v>1535</v>
      </c>
      <c r="T22">
        <f t="shared" si="1"/>
        <v>1682</v>
      </c>
      <c r="U22">
        <f t="shared" si="1"/>
        <v>1833</v>
      </c>
      <c r="V22">
        <f t="shared" si="1"/>
        <v>1978</v>
      </c>
      <c r="W22">
        <f t="shared" si="1"/>
        <v>2114</v>
      </c>
      <c r="X22">
        <f t="shared" si="1"/>
        <v>2255</v>
      </c>
      <c r="Y22">
        <f t="shared" si="1"/>
        <v>2412</v>
      </c>
      <c r="Z22">
        <f t="shared" si="1"/>
        <v>2600</v>
      </c>
      <c r="AA22">
        <f t="shared" si="1"/>
        <v>2755</v>
      </c>
      <c r="AB22">
        <f t="shared" si="1"/>
        <v>2958</v>
      </c>
      <c r="AC22">
        <f t="shared" si="1"/>
        <v>3136</v>
      </c>
      <c r="AD22">
        <f t="shared" si="1"/>
        <v>3318</v>
      </c>
      <c r="AE22">
        <f t="shared" si="1"/>
        <v>3498</v>
      </c>
    </row>
    <row r="24" spans="2:31" x14ac:dyDescent="0.25">
      <c r="B24" s="1" t="s">
        <v>23</v>
      </c>
      <c r="C24" s="1" t="s">
        <v>11</v>
      </c>
      <c r="F24">
        <v>0</v>
      </c>
      <c r="G24">
        <v>1</v>
      </c>
      <c r="H24">
        <v>2</v>
      </c>
      <c r="I24">
        <v>3</v>
      </c>
      <c r="J24">
        <v>4</v>
      </c>
      <c r="K24">
        <v>5</v>
      </c>
      <c r="L24">
        <v>6</v>
      </c>
      <c r="M24">
        <v>7</v>
      </c>
      <c r="N24">
        <v>8</v>
      </c>
      <c r="O24">
        <v>9</v>
      </c>
      <c r="P24">
        <v>10</v>
      </c>
      <c r="Q24">
        <v>11</v>
      </c>
      <c r="R24">
        <v>12</v>
      </c>
      <c r="S24">
        <v>13</v>
      </c>
      <c r="T24">
        <v>14</v>
      </c>
      <c r="U24">
        <v>15</v>
      </c>
      <c r="V24">
        <v>16</v>
      </c>
      <c r="W24">
        <v>17</v>
      </c>
      <c r="X24">
        <v>18</v>
      </c>
      <c r="Y24">
        <v>19</v>
      </c>
      <c r="Z24">
        <v>20</v>
      </c>
      <c r="AA24">
        <v>21</v>
      </c>
      <c r="AB24">
        <v>22</v>
      </c>
      <c r="AC24">
        <v>23</v>
      </c>
      <c r="AD24">
        <v>24</v>
      </c>
      <c r="AE24">
        <v>25</v>
      </c>
    </row>
    <row r="25" spans="2:31" x14ac:dyDescent="0.25">
      <c r="C25" t="s">
        <v>1</v>
      </c>
      <c r="D25">
        <v>22400</v>
      </c>
      <c r="E25">
        <v>416</v>
      </c>
      <c r="F25">
        <v>416</v>
      </c>
      <c r="G25">
        <v>416</v>
      </c>
      <c r="H25">
        <v>416</v>
      </c>
      <c r="I25">
        <v>416</v>
      </c>
      <c r="J25">
        <v>416</v>
      </c>
      <c r="K25">
        <v>416</v>
      </c>
      <c r="L25">
        <v>416</v>
      </c>
      <c r="M25">
        <v>416</v>
      </c>
      <c r="N25">
        <v>416</v>
      </c>
      <c r="O25">
        <v>416</v>
      </c>
      <c r="P25">
        <v>416</v>
      </c>
      <c r="Q25">
        <v>416</v>
      </c>
      <c r="R25">
        <v>416</v>
      </c>
      <c r="S25">
        <v>416</v>
      </c>
      <c r="T25">
        <v>416</v>
      </c>
      <c r="U25">
        <v>416</v>
      </c>
      <c r="V25">
        <v>416</v>
      </c>
      <c r="W25">
        <v>416</v>
      </c>
      <c r="X25">
        <v>416</v>
      </c>
      <c r="Y25">
        <v>416</v>
      </c>
      <c r="Z25">
        <v>416</v>
      </c>
      <c r="AA25">
        <v>416</v>
      </c>
      <c r="AB25">
        <v>416</v>
      </c>
      <c r="AC25">
        <v>416</v>
      </c>
      <c r="AD25">
        <v>416</v>
      </c>
      <c r="AE25">
        <v>0</v>
      </c>
    </row>
    <row r="26" spans="2:31" x14ac:dyDescent="0.25">
      <c r="C26" t="s">
        <v>2</v>
      </c>
      <c r="D26">
        <v>0</v>
      </c>
      <c r="E26">
        <v>22400</v>
      </c>
      <c r="F26">
        <v>416</v>
      </c>
      <c r="G26">
        <v>416</v>
      </c>
      <c r="H26">
        <v>416</v>
      </c>
      <c r="I26">
        <v>416</v>
      </c>
      <c r="J26">
        <v>416</v>
      </c>
      <c r="K26">
        <v>416</v>
      </c>
      <c r="L26">
        <v>416</v>
      </c>
      <c r="M26">
        <v>416</v>
      </c>
      <c r="N26">
        <v>416</v>
      </c>
      <c r="O26">
        <v>416</v>
      </c>
      <c r="P26">
        <v>416</v>
      </c>
      <c r="Q26">
        <v>416</v>
      </c>
      <c r="R26">
        <v>416</v>
      </c>
      <c r="S26">
        <v>416</v>
      </c>
      <c r="T26">
        <v>416</v>
      </c>
      <c r="U26">
        <v>416</v>
      </c>
      <c r="V26">
        <v>416</v>
      </c>
      <c r="W26">
        <v>416</v>
      </c>
      <c r="X26">
        <v>416</v>
      </c>
      <c r="Y26">
        <v>416</v>
      </c>
      <c r="Z26">
        <v>416</v>
      </c>
      <c r="AA26">
        <v>416</v>
      </c>
      <c r="AB26">
        <v>416</v>
      </c>
      <c r="AC26">
        <v>416</v>
      </c>
      <c r="AD26">
        <v>416</v>
      </c>
      <c r="AE26">
        <v>416</v>
      </c>
    </row>
    <row r="27" spans="2:31" x14ac:dyDescent="0.25">
      <c r="C27" t="s">
        <v>13</v>
      </c>
      <c r="D27">
        <v>0</v>
      </c>
      <c r="E27">
        <v>0</v>
      </c>
      <c r="F27">
        <v>22400</v>
      </c>
      <c r="G27">
        <v>22550</v>
      </c>
      <c r="H27">
        <v>22709</v>
      </c>
      <c r="I27">
        <v>22852</v>
      </c>
      <c r="J27">
        <v>22959</v>
      </c>
      <c r="K27">
        <v>23081</v>
      </c>
      <c r="L27">
        <v>23186</v>
      </c>
      <c r="M27">
        <v>23286</v>
      </c>
      <c r="N27">
        <v>23405</v>
      </c>
      <c r="O27">
        <v>23480</v>
      </c>
      <c r="P27">
        <v>23576</v>
      </c>
      <c r="Q27">
        <v>23685</v>
      </c>
      <c r="R27">
        <v>23784</v>
      </c>
      <c r="S27">
        <v>23822</v>
      </c>
      <c r="T27">
        <v>23915</v>
      </c>
      <c r="U27">
        <v>23989</v>
      </c>
      <c r="V27">
        <v>24063</v>
      </c>
      <c r="W27">
        <v>24129</v>
      </c>
      <c r="X27">
        <v>24207</v>
      </c>
      <c r="Y27">
        <v>24288</v>
      </c>
      <c r="Z27">
        <v>24336</v>
      </c>
      <c r="AA27">
        <v>24386</v>
      </c>
      <c r="AB27">
        <v>24414</v>
      </c>
      <c r="AC27">
        <v>24478</v>
      </c>
      <c r="AD27">
        <v>24518</v>
      </c>
      <c r="AE27">
        <v>24539</v>
      </c>
    </row>
    <row r="28" spans="2:31" x14ac:dyDescent="0.25">
      <c r="C28" t="s">
        <v>11</v>
      </c>
      <c r="D28">
        <v>0</v>
      </c>
      <c r="E28">
        <v>0</v>
      </c>
      <c r="F28">
        <v>0</v>
      </c>
      <c r="G28">
        <v>164</v>
      </c>
      <c r="H28">
        <v>313</v>
      </c>
      <c r="I28">
        <v>464</v>
      </c>
      <c r="J28">
        <v>636</v>
      </c>
      <c r="K28">
        <v>797</v>
      </c>
      <c r="L28">
        <v>923</v>
      </c>
      <c r="M28">
        <v>1065</v>
      </c>
      <c r="N28">
        <v>1171</v>
      </c>
      <c r="O28">
        <v>1296</v>
      </c>
      <c r="P28">
        <v>1428</v>
      </c>
      <c r="Q28">
        <v>1548</v>
      </c>
      <c r="R28">
        <v>1658</v>
      </c>
      <c r="S28">
        <v>1795</v>
      </c>
      <c r="T28">
        <v>1893</v>
      </c>
      <c r="U28">
        <v>1997</v>
      </c>
      <c r="V28">
        <v>2077</v>
      </c>
      <c r="W28">
        <v>2164</v>
      </c>
      <c r="X28">
        <v>2237</v>
      </c>
      <c r="Y28">
        <v>2305</v>
      </c>
      <c r="Z28">
        <v>2397</v>
      </c>
      <c r="AA28">
        <v>2472</v>
      </c>
      <c r="AB28">
        <v>2517</v>
      </c>
      <c r="AC28">
        <v>2572</v>
      </c>
      <c r="AD28">
        <v>2638</v>
      </c>
      <c r="AE28">
        <v>2723</v>
      </c>
    </row>
    <row r="29" spans="2:31" x14ac:dyDescent="0.25">
      <c r="C29" t="s">
        <v>14</v>
      </c>
      <c r="D29">
        <v>0</v>
      </c>
      <c r="E29">
        <v>0</v>
      </c>
      <c r="F29">
        <v>0</v>
      </c>
      <c r="G29">
        <v>0</v>
      </c>
      <c r="H29">
        <v>4</v>
      </c>
      <c r="I29">
        <v>16</v>
      </c>
      <c r="J29">
        <v>24</v>
      </c>
      <c r="K29">
        <v>43</v>
      </c>
      <c r="L29">
        <v>79</v>
      </c>
      <c r="M29">
        <v>102</v>
      </c>
      <c r="N29">
        <v>130</v>
      </c>
      <c r="O29">
        <v>157</v>
      </c>
      <c r="P29">
        <v>187</v>
      </c>
      <c r="Q29">
        <v>223</v>
      </c>
      <c r="R29">
        <v>259</v>
      </c>
      <c r="S29">
        <v>300</v>
      </c>
      <c r="T29">
        <v>350</v>
      </c>
      <c r="U29">
        <v>392</v>
      </c>
      <c r="V29">
        <v>444</v>
      </c>
      <c r="W29">
        <v>495</v>
      </c>
      <c r="X29">
        <v>547</v>
      </c>
      <c r="Y29">
        <v>601</v>
      </c>
      <c r="Z29">
        <v>657</v>
      </c>
      <c r="AA29">
        <v>708</v>
      </c>
      <c r="AB29">
        <v>771</v>
      </c>
      <c r="AC29">
        <v>831</v>
      </c>
      <c r="AD29">
        <v>892</v>
      </c>
      <c r="AE29">
        <v>937</v>
      </c>
    </row>
    <row r="30" spans="2:31" x14ac:dyDescent="0.25">
      <c r="C30" t="s">
        <v>10</v>
      </c>
      <c r="D30">
        <v>0</v>
      </c>
      <c r="E30">
        <v>0</v>
      </c>
      <c r="F30">
        <v>0</v>
      </c>
      <c r="G30">
        <v>102</v>
      </c>
      <c r="H30">
        <v>206</v>
      </c>
      <c r="I30">
        <v>316</v>
      </c>
      <c r="J30">
        <v>445</v>
      </c>
      <c r="K30">
        <v>559</v>
      </c>
      <c r="L30">
        <v>708</v>
      </c>
      <c r="M30">
        <v>859</v>
      </c>
      <c r="N30">
        <v>1022</v>
      </c>
      <c r="O30">
        <v>1211</v>
      </c>
      <c r="P30">
        <v>1369</v>
      </c>
      <c r="Q30">
        <v>1520</v>
      </c>
      <c r="R30">
        <v>1691</v>
      </c>
      <c r="S30">
        <v>1891</v>
      </c>
      <c r="T30">
        <v>2066</v>
      </c>
      <c r="U30">
        <v>2262</v>
      </c>
      <c r="V30">
        <v>2472</v>
      </c>
      <c r="W30">
        <v>2684</v>
      </c>
      <c r="X30">
        <v>2897</v>
      </c>
      <c r="Y30">
        <v>3110</v>
      </c>
      <c r="Z30">
        <v>3330</v>
      </c>
      <c r="AA30">
        <v>3570</v>
      </c>
      <c r="AB30">
        <v>3850</v>
      </c>
      <c r="AC30">
        <v>4087</v>
      </c>
      <c r="AD30">
        <v>4336</v>
      </c>
      <c r="AE30">
        <v>4601</v>
      </c>
    </row>
    <row r="32" spans="2:31" x14ac:dyDescent="0.25">
      <c r="B32" s="1" t="s">
        <v>22</v>
      </c>
      <c r="C32" t="s">
        <v>13</v>
      </c>
      <c r="F32">
        <f>F69-SUM(F33:F35)</f>
        <v>21027</v>
      </c>
      <c r="G32">
        <f t="shared" ref="G32:AE32" si="2">G69-SUM(G33:G35)</f>
        <v>21141</v>
      </c>
      <c r="H32">
        <f t="shared" si="2"/>
        <v>21252</v>
      </c>
      <c r="I32">
        <f t="shared" si="2"/>
        <v>21354</v>
      </c>
      <c r="J32">
        <f t="shared" si="2"/>
        <v>21473</v>
      </c>
      <c r="K32">
        <f t="shared" si="2"/>
        <v>21547</v>
      </c>
      <c r="L32">
        <f t="shared" si="2"/>
        <v>21638</v>
      </c>
      <c r="M32">
        <f t="shared" si="2"/>
        <v>21679</v>
      </c>
      <c r="N32">
        <f t="shared" si="2"/>
        <v>21736</v>
      </c>
      <c r="O32">
        <f t="shared" si="2"/>
        <v>21777</v>
      </c>
      <c r="P32">
        <f t="shared" si="2"/>
        <v>21851</v>
      </c>
      <c r="Q32">
        <f t="shared" si="2"/>
        <v>21899</v>
      </c>
      <c r="R32">
        <f t="shared" si="2"/>
        <v>21978</v>
      </c>
      <c r="S32">
        <f t="shared" si="2"/>
        <v>22014</v>
      </c>
      <c r="T32">
        <f t="shared" si="2"/>
        <v>22050</v>
      </c>
      <c r="U32">
        <f t="shared" si="2"/>
        <v>22069</v>
      </c>
      <c r="V32">
        <f t="shared" si="2"/>
        <v>22144</v>
      </c>
      <c r="W32">
        <f t="shared" si="2"/>
        <v>22214</v>
      </c>
      <c r="X32">
        <f t="shared" si="2"/>
        <v>22253</v>
      </c>
      <c r="Y32">
        <f t="shared" si="2"/>
        <v>22290</v>
      </c>
      <c r="Z32">
        <f t="shared" si="2"/>
        <v>22308</v>
      </c>
      <c r="AA32">
        <f t="shared" si="2"/>
        <v>22331</v>
      </c>
      <c r="AB32">
        <f t="shared" si="2"/>
        <v>22341</v>
      </c>
      <c r="AC32">
        <f t="shared" si="2"/>
        <v>22356</v>
      </c>
      <c r="AD32">
        <f t="shared" si="2"/>
        <v>22396</v>
      </c>
      <c r="AE32">
        <f t="shared" si="2"/>
        <v>22434</v>
      </c>
    </row>
    <row r="33" spans="2:31" x14ac:dyDescent="0.25">
      <c r="C33" t="s">
        <v>11</v>
      </c>
      <c r="F33">
        <v>1373</v>
      </c>
      <c r="G33">
        <v>1402</v>
      </c>
      <c r="H33">
        <v>1424</v>
      </c>
      <c r="I33">
        <v>1458</v>
      </c>
      <c r="J33">
        <v>1481</v>
      </c>
      <c r="K33">
        <v>1472</v>
      </c>
      <c r="L33">
        <v>1490</v>
      </c>
      <c r="M33">
        <v>1511</v>
      </c>
      <c r="N33">
        <v>1532</v>
      </c>
      <c r="O33">
        <v>1556</v>
      </c>
      <c r="P33">
        <v>1566</v>
      </c>
      <c r="Q33">
        <v>1572</v>
      </c>
      <c r="R33">
        <v>1578</v>
      </c>
      <c r="S33">
        <v>1602</v>
      </c>
      <c r="T33">
        <v>1633</v>
      </c>
      <c r="U33">
        <v>1668</v>
      </c>
      <c r="V33">
        <v>1681</v>
      </c>
      <c r="W33">
        <v>1692</v>
      </c>
      <c r="X33">
        <v>1714</v>
      </c>
      <c r="Y33">
        <v>1751</v>
      </c>
      <c r="Z33">
        <v>1785</v>
      </c>
      <c r="AA33">
        <v>1809</v>
      </c>
      <c r="AB33">
        <v>1804</v>
      </c>
      <c r="AC33">
        <v>1818</v>
      </c>
      <c r="AD33">
        <v>1822</v>
      </c>
      <c r="AE33">
        <v>1823</v>
      </c>
    </row>
    <row r="34" spans="2:31" x14ac:dyDescent="0.25">
      <c r="C34" t="s">
        <v>14</v>
      </c>
      <c r="F34">
        <v>0</v>
      </c>
      <c r="G34">
        <v>21</v>
      </c>
      <c r="H34">
        <v>51</v>
      </c>
      <c r="I34">
        <v>92</v>
      </c>
      <c r="J34">
        <v>122</v>
      </c>
      <c r="K34">
        <v>158</v>
      </c>
      <c r="L34">
        <v>194</v>
      </c>
      <c r="M34">
        <v>231</v>
      </c>
      <c r="N34">
        <v>266</v>
      </c>
      <c r="O34">
        <v>306</v>
      </c>
      <c r="P34">
        <v>343</v>
      </c>
      <c r="Q34">
        <v>388</v>
      </c>
      <c r="R34">
        <v>431</v>
      </c>
      <c r="S34">
        <v>464</v>
      </c>
      <c r="T34">
        <v>506</v>
      </c>
      <c r="U34">
        <v>546</v>
      </c>
      <c r="V34">
        <v>582</v>
      </c>
      <c r="W34">
        <v>623</v>
      </c>
      <c r="X34">
        <v>656</v>
      </c>
      <c r="Y34">
        <v>692</v>
      </c>
      <c r="Z34">
        <v>735</v>
      </c>
      <c r="AA34">
        <v>771</v>
      </c>
      <c r="AB34">
        <v>823</v>
      </c>
      <c r="AC34">
        <v>859</v>
      </c>
      <c r="AD34">
        <v>902</v>
      </c>
      <c r="AE34">
        <v>949</v>
      </c>
    </row>
    <row r="35" spans="2:31" x14ac:dyDescent="0.25">
      <c r="C35" t="s">
        <v>10</v>
      </c>
      <c r="F35">
        <v>0</v>
      </c>
      <c r="G35">
        <f>G66-G34</f>
        <v>252</v>
      </c>
      <c r="H35">
        <f t="shared" ref="H35:AE35" si="3">H66-H34</f>
        <v>505</v>
      </c>
      <c r="I35">
        <f t="shared" si="3"/>
        <v>744</v>
      </c>
      <c r="J35">
        <f t="shared" si="3"/>
        <v>988</v>
      </c>
      <c r="K35">
        <f t="shared" si="3"/>
        <v>1303</v>
      </c>
      <c r="L35">
        <f t="shared" si="3"/>
        <v>1574</v>
      </c>
      <c r="M35">
        <f t="shared" si="3"/>
        <v>1891</v>
      </c>
      <c r="N35">
        <f t="shared" si="3"/>
        <v>2194</v>
      </c>
      <c r="O35">
        <f t="shared" si="3"/>
        <v>2505</v>
      </c>
      <c r="P35">
        <f t="shared" si="3"/>
        <v>2800</v>
      </c>
      <c r="Q35">
        <f t="shared" si="3"/>
        <v>3117</v>
      </c>
      <c r="R35">
        <f t="shared" si="3"/>
        <v>3405</v>
      </c>
      <c r="S35">
        <f t="shared" si="3"/>
        <v>3728</v>
      </c>
      <c r="T35">
        <f t="shared" si="3"/>
        <v>4035</v>
      </c>
      <c r="U35">
        <f t="shared" si="3"/>
        <v>4357</v>
      </c>
      <c r="V35">
        <f t="shared" si="3"/>
        <v>4649</v>
      </c>
      <c r="W35">
        <f t="shared" si="3"/>
        <v>4943</v>
      </c>
      <c r="X35">
        <f t="shared" si="3"/>
        <v>5265</v>
      </c>
      <c r="Y35">
        <f t="shared" si="3"/>
        <v>5571</v>
      </c>
      <c r="Z35">
        <f t="shared" si="3"/>
        <v>5892</v>
      </c>
      <c r="AA35">
        <f t="shared" si="3"/>
        <v>6225</v>
      </c>
      <c r="AB35">
        <f t="shared" si="3"/>
        <v>6584</v>
      </c>
      <c r="AC35">
        <f t="shared" si="3"/>
        <v>6935</v>
      </c>
      <c r="AD35">
        <f t="shared" si="3"/>
        <v>7264</v>
      </c>
      <c r="AE35">
        <f t="shared" si="3"/>
        <v>7594</v>
      </c>
    </row>
    <row r="38" spans="2:31" x14ac:dyDescent="0.25">
      <c r="B38" s="1" t="s">
        <v>23</v>
      </c>
      <c r="C38" s="1" t="s">
        <v>12</v>
      </c>
      <c r="F38">
        <v>0</v>
      </c>
      <c r="G38">
        <v>1</v>
      </c>
      <c r="H38">
        <v>2</v>
      </c>
      <c r="I38">
        <v>3</v>
      </c>
      <c r="J38">
        <v>4</v>
      </c>
      <c r="K38">
        <v>5</v>
      </c>
      <c r="L38">
        <v>6</v>
      </c>
      <c r="M38">
        <v>7</v>
      </c>
      <c r="N38">
        <v>8</v>
      </c>
      <c r="O38">
        <v>9</v>
      </c>
      <c r="P38">
        <v>10</v>
      </c>
      <c r="Q38">
        <v>11</v>
      </c>
      <c r="R38">
        <v>12</v>
      </c>
      <c r="S38">
        <v>13</v>
      </c>
      <c r="T38">
        <v>14</v>
      </c>
      <c r="U38">
        <v>15</v>
      </c>
      <c r="V38">
        <v>16</v>
      </c>
      <c r="W38">
        <v>17</v>
      </c>
      <c r="X38">
        <v>18</v>
      </c>
      <c r="Y38">
        <v>19</v>
      </c>
      <c r="Z38">
        <v>20</v>
      </c>
      <c r="AA38">
        <v>21</v>
      </c>
      <c r="AB38">
        <v>22</v>
      </c>
      <c r="AC38">
        <v>23</v>
      </c>
      <c r="AD38">
        <v>24</v>
      </c>
      <c r="AE38">
        <v>25</v>
      </c>
    </row>
    <row r="39" spans="2:31" x14ac:dyDescent="0.25">
      <c r="C39" t="s">
        <v>1</v>
      </c>
      <c r="D39">
        <v>22400</v>
      </c>
      <c r="E39">
        <v>416</v>
      </c>
      <c r="F39">
        <v>416</v>
      </c>
      <c r="G39">
        <v>416</v>
      </c>
      <c r="H39">
        <v>416</v>
      </c>
      <c r="I39">
        <v>416</v>
      </c>
      <c r="J39">
        <v>416</v>
      </c>
      <c r="K39">
        <v>416</v>
      </c>
      <c r="L39">
        <v>416</v>
      </c>
      <c r="M39">
        <v>416</v>
      </c>
      <c r="N39">
        <v>416</v>
      </c>
      <c r="O39">
        <v>416</v>
      </c>
      <c r="P39">
        <v>416</v>
      </c>
      <c r="Q39">
        <v>416</v>
      </c>
      <c r="R39">
        <v>416</v>
      </c>
      <c r="S39">
        <v>416</v>
      </c>
      <c r="T39">
        <v>416</v>
      </c>
      <c r="U39">
        <v>416</v>
      </c>
      <c r="V39">
        <v>416</v>
      </c>
      <c r="W39">
        <v>416</v>
      </c>
      <c r="X39">
        <v>416</v>
      </c>
      <c r="Y39">
        <v>416</v>
      </c>
      <c r="Z39">
        <v>416</v>
      </c>
      <c r="AA39">
        <v>416</v>
      </c>
      <c r="AB39">
        <v>416</v>
      </c>
      <c r="AC39">
        <v>416</v>
      </c>
      <c r="AD39">
        <v>416</v>
      </c>
      <c r="AE39">
        <v>0</v>
      </c>
    </row>
    <row r="40" spans="2:31" x14ac:dyDescent="0.25">
      <c r="C40" t="s">
        <v>2</v>
      </c>
      <c r="D40">
        <v>0</v>
      </c>
      <c r="E40">
        <v>22400</v>
      </c>
      <c r="F40">
        <v>416</v>
      </c>
      <c r="G40">
        <v>416</v>
      </c>
      <c r="H40">
        <v>416</v>
      </c>
      <c r="I40">
        <v>416</v>
      </c>
      <c r="J40">
        <v>416</v>
      </c>
      <c r="K40">
        <v>416</v>
      </c>
      <c r="L40">
        <v>416</v>
      </c>
      <c r="M40">
        <v>416</v>
      </c>
      <c r="N40">
        <v>416</v>
      </c>
      <c r="O40">
        <v>416</v>
      </c>
      <c r="P40">
        <v>416</v>
      </c>
      <c r="Q40">
        <v>416</v>
      </c>
      <c r="R40">
        <v>416</v>
      </c>
      <c r="S40">
        <v>416</v>
      </c>
      <c r="T40">
        <v>416</v>
      </c>
      <c r="U40">
        <v>416</v>
      </c>
      <c r="V40">
        <v>416</v>
      </c>
      <c r="W40">
        <v>416</v>
      </c>
      <c r="X40">
        <v>416</v>
      </c>
      <c r="Y40">
        <v>416</v>
      </c>
      <c r="Z40">
        <v>416</v>
      </c>
      <c r="AA40">
        <v>416</v>
      </c>
      <c r="AB40">
        <v>416</v>
      </c>
      <c r="AC40">
        <v>416</v>
      </c>
      <c r="AD40">
        <v>416</v>
      </c>
      <c r="AE40">
        <v>416</v>
      </c>
    </row>
    <row r="41" spans="2:31" x14ac:dyDescent="0.25">
      <c r="C41" t="s">
        <v>15</v>
      </c>
      <c r="D41">
        <v>0</v>
      </c>
      <c r="E41">
        <v>0</v>
      </c>
      <c r="F41">
        <v>22175</v>
      </c>
      <c r="G41">
        <v>22047</v>
      </c>
      <c r="H41">
        <v>21910</v>
      </c>
      <c r="I41">
        <v>21792</v>
      </c>
      <c r="J41">
        <v>21675</v>
      </c>
      <c r="K41">
        <v>21571</v>
      </c>
      <c r="L41">
        <v>21411</v>
      </c>
      <c r="M41">
        <v>21298</v>
      </c>
      <c r="N41">
        <v>21148</v>
      </c>
      <c r="O41">
        <v>20974</v>
      </c>
      <c r="P41">
        <v>20844</v>
      </c>
      <c r="Q41">
        <v>20710</v>
      </c>
      <c r="R41">
        <v>20530</v>
      </c>
      <c r="S41">
        <v>20428</v>
      </c>
      <c r="T41">
        <v>20289</v>
      </c>
      <c r="U41">
        <v>20103</v>
      </c>
      <c r="V41">
        <v>19965</v>
      </c>
      <c r="W41">
        <v>19822</v>
      </c>
      <c r="X41">
        <v>19655</v>
      </c>
      <c r="Y41">
        <v>19516</v>
      </c>
      <c r="Z41">
        <v>19375</v>
      </c>
      <c r="AA41">
        <v>19209</v>
      </c>
      <c r="AB41">
        <v>19036</v>
      </c>
      <c r="AC41">
        <v>18859</v>
      </c>
      <c r="AD41">
        <v>18730</v>
      </c>
      <c r="AE41">
        <v>18606</v>
      </c>
    </row>
    <row r="42" spans="2:31" x14ac:dyDescent="0.25">
      <c r="C42" t="s">
        <v>12</v>
      </c>
      <c r="D42">
        <v>0</v>
      </c>
      <c r="E42">
        <v>0</v>
      </c>
      <c r="F42">
        <v>225</v>
      </c>
      <c r="G42">
        <v>658</v>
      </c>
      <c r="H42">
        <v>1105</v>
      </c>
      <c r="I42">
        <v>1508</v>
      </c>
      <c r="J42">
        <v>1903</v>
      </c>
      <c r="K42">
        <v>2280</v>
      </c>
      <c r="L42">
        <v>2683</v>
      </c>
      <c r="M42">
        <v>3032</v>
      </c>
      <c r="N42">
        <v>3390</v>
      </c>
      <c r="O42">
        <v>3743</v>
      </c>
      <c r="P42">
        <v>4072</v>
      </c>
      <c r="Q42">
        <v>4383</v>
      </c>
      <c r="R42">
        <v>4725</v>
      </c>
      <c r="S42">
        <v>4957</v>
      </c>
      <c r="T42">
        <v>5268</v>
      </c>
      <c r="U42">
        <v>5583</v>
      </c>
      <c r="V42">
        <v>5844</v>
      </c>
      <c r="W42">
        <v>6076</v>
      </c>
      <c r="X42">
        <v>6336</v>
      </c>
      <c r="Y42">
        <v>6560</v>
      </c>
      <c r="Z42">
        <v>6775</v>
      </c>
      <c r="AA42">
        <v>7012</v>
      </c>
      <c r="AB42">
        <v>7197</v>
      </c>
      <c r="AC42">
        <v>7429</v>
      </c>
      <c r="AD42">
        <v>7583</v>
      </c>
      <c r="AE42">
        <v>7720</v>
      </c>
    </row>
    <row r="43" spans="2:31" x14ac:dyDescent="0.25">
      <c r="C43" t="s">
        <v>16</v>
      </c>
      <c r="D43">
        <v>0</v>
      </c>
      <c r="E43">
        <v>0</v>
      </c>
      <c r="F43">
        <v>0</v>
      </c>
      <c r="G43">
        <v>4</v>
      </c>
      <c r="H43">
        <v>15</v>
      </c>
      <c r="I43">
        <v>37</v>
      </c>
      <c r="J43">
        <v>65</v>
      </c>
      <c r="K43">
        <v>104</v>
      </c>
      <c r="L43">
        <v>153</v>
      </c>
      <c r="M43">
        <v>211</v>
      </c>
      <c r="N43">
        <v>280</v>
      </c>
      <c r="O43">
        <v>355</v>
      </c>
      <c r="P43">
        <v>455</v>
      </c>
      <c r="Q43">
        <v>558</v>
      </c>
      <c r="R43">
        <v>670</v>
      </c>
      <c r="S43">
        <v>817</v>
      </c>
      <c r="T43">
        <v>938</v>
      </c>
      <c r="U43">
        <v>1067</v>
      </c>
      <c r="V43">
        <v>1205</v>
      </c>
      <c r="W43">
        <v>1378</v>
      </c>
      <c r="X43">
        <v>1555</v>
      </c>
      <c r="Y43">
        <v>1747</v>
      </c>
      <c r="Z43">
        <v>1923</v>
      </c>
      <c r="AA43">
        <v>2119</v>
      </c>
      <c r="AB43">
        <v>2346</v>
      </c>
      <c r="AC43">
        <v>2543</v>
      </c>
      <c r="AD43">
        <v>2783</v>
      </c>
      <c r="AE43">
        <v>3029</v>
      </c>
    </row>
    <row r="44" spans="2:31" x14ac:dyDescent="0.25">
      <c r="C44" t="s">
        <v>10</v>
      </c>
      <c r="D44">
        <v>0</v>
      </c>
      <c r="E44">
        <v>0</v>
      </c>
      <c r="F44">
        <v>0</v>
      </c>
      <c r="G44">
        <v>107</v>
      </c>
      <c r="H44">
        <v>202</v>
      </c>
      <c r="I44">
        <v>311</v>
      </c>
      <c r="J44">
        <v>421</v>
      </c>
      <c r="K44">
        <v>525</v>
      </c>
      <c r="L44">
        <v>649</v>
      </c>
      <c r="M44">
        <v>771</v>
      </c>
      <c r="N44">
        <v>910</v>
      </c>
      <c r="O44">
        <v>1072</v>
      </c>
      <c r="P44">
        <v>1189</v>
      </c>
      <c r="Q44">
        <v>1325</v>
      </c>
      <c r="R44">
        <v>1467</v>
      </c>
      <c r="S44">
        <v>1606</v>
      </c>
      <c r="T44">
        <v>1729</v>
      </c>
      <c r="U44">
        <v>1887</v>
      </c>
      <c r="V44">
        <v>2042</v>
      </c>
      <c r="W44">
        <v>2196</v>
      </c>
      <c r="X44">
        <v>2342</v>
      </c>
      <c r="Y44">
        <v>2481</v>
      </c>
      <c r="Z44">
        <v>2647</v>
      </c>
      <c r="AA44">
        <v>2796</v>
      </c>
      <c r="AB44">
        <v>2973</v>
      </c>
      <c r="AC44">
        <v>3137</v>
      </c>
      <c r="AD44">
        <v>3288</v>
      </c>
      <c r="AE44">
        <v>3445</v>
      </c>
    </row>
    <row r="46" spans="2:31" x14ac:dyDescent="0.25">
      <c r="B46" s="1" t="s">
        <v>22</v>
      </c>
      <c r="C46" t="s">
        <v>15</v>
      </c>
      <c r="F46">
        <f>F69-SUM(F47:F49)</f>
        <v>20340</v>
      </c>
      <c r="G46">
        <f t="shared" ref="G46:AE46" si="4">G69-SUM(G47:G49)</f>
        <v>20347</v>
      </c>
      <c r="H46">
        <f t="shared" si="4"/>
        <v>20370</v>
      </c>
      <c r="I46">
        <f t="shared" si="4"/>
        <v>20397</v>
      </c>
      <c r="J46">
        <f t="shared" si="4"/>
        <v>20420</v>
      </c>
      <c r="K46">
        <f t="shared" si="4"/>
        <v>20388</v>
      </c>
      <c r="L46">
        <f t="shared" si="4"/>
        <v>20385</v>
      </c>
      <c r="M46">
        <f t="shared" si="4"/>
        <v>20334</v>
      </c>
      <c r="N46">
        <f t="shared" si="4"/>
        <v>20295</v>
      </c>
      <c r="O46">
        <f t="shared" si="4"/>
        <v>20238</v>
      </c>
      <c r="P46">
        <f t="shared" si="4"/>
        <v>20233</v>
      </c>
      <c r="Q46">
        <f t="shared" si="4"/>
        <v>20199</v>
      </c>
      <c r="R46">
        <f t="shared" si="4"/>
        <v>20177</v>
      </c>
      <c r="S46">
        <f t="shared" si="4"/>
        <v>20156</v>
      </c>
      <c r="T46">
        <f t="shared" si="4"/>
        <v>20123</v>
      </c>
      <c r="U46">
        <f t="shared" si="4"/>
        <v>20066</v>
      </c>
      <c r="V46">
        <f t="shared" si="4"/>
        <v>20079</v>
      </c>
      <c r="W46">
        <f t="shared" si="4"/>
        <v>20032</v>
      </c>
      <c r="X46">
        <f t="shared" si="4"/>
        <v>20013</v>
      </c>
      <c r="Y46">
        <f t="shared" si="4"/>
        <v>19988</v>
      </c>
      <c r="Z46">
        <f t="shared" si="4"/>
        <v>19958</v>
      </c>
      <c r="AA46">
        <f t="shared" si="4"/>
        <v>19929</v>
      </c>
      <c r="AB46">
        <f t="shared" si="4"/>
        <v>19868</v>
      </c>
      <c r="AC46">
        <f t="shared" si="4"/>
        <v>19796</v>
      </c>
      <c r="AD46">
        <f t="shared" si="4"/>
        <v>19747</v>
      </c>
      <c r="AE46">
        <f t="shared" si="4"/>
        <v>19722</v>
      </c>
    </row>
    <row r="47" spans="2:31" x14ac:dyDescent="0.25">
      <c r="C47" t="s">
        <v>12</v>
      </c>
      <c r="F47">
        <v>2060</v>
      </c>
      <c r="G47">
        <v>2196</v>
      </c>
      <c r="H47">
        <v>2306</v>
      </c>
      <c r="I47">
        <v>2415</v>
      </c>
      <c r="J47">
        <v>2534</v>
      </c>
      <c r="K47">
        <v>2631</v>
      </c>
      <c r="L47">
        <v>2743</v>
      </c>
      <c r="M47">
        <v>2856</v>
      </c>
      <c r="N47">
        <v>2973</v>
      </c>
      <c r="O47">
        <v>3095</v>
      </c>
      <c r="P47">
        <v>3184</v>
      </c>
      <c r="Q47">
        <v>3272</v>
      </c>
      <c r="R47">
        <v>3379</v>
      </c>
      <c r="S47">
        <v>3460</v>
      </c>
      <c r="T47">
        <v>3560</v>
      </c>
      <c r="U47">
        <v>3671</v>
      </c>
      <c r="V47">
        <v>3746</v>
      </c>
      <c r="W47">
        <v>3874</v>
      </c>
      <c r="X47">
        <v>3954</v>
      </c>
      <c r="Y47">
        <v>4053</v>
      </c>
      <c r="Z47">
        <v>4135</v>
      </c>
      <c r="AA47">
        <v>4211</v>
      </c>
      <c r="AB47">
        <v>4277</v>
      </c>
      <c r="AC47">
        <v>4378</v>
      </c>
      <c r="AD47">
        <v>4471</v>
      </c>
      <c r="AE47">
        <v>4535</v>
      </c>
    </row>
    <row r="48" spans="2:31" x14ac:dyDescent="0.25">
      <c r="C48" t="s">
        <v>16</v>
      </c>
      <c r="F48">
        <v>0</v>
      </c>
      <c r="G48">
        <v>60</v>
      </c>
      <c r="H48">
        <v>131</v>
      </c>
      <c r="I48">
        <v>204</v>
      </c>
      <c r="J48">
        <v>268</v>
      </c>
      <c r="K48">
        <v>354</v>
      </c>
      <c r="L48">
        <v>430</v>
      </c>
      <c r="M48">
        <v>520</v>
      </c>
      <c r="N48">
        <v>595</v>
      </c>
      <c r="O48">
        <v>687</v>
      </c>
      <c r="P48">
        <v>772</v>
      </c>
      <c r="Q48">
        <v>874</v>
      </c>
      <c r="R48">
        <v>964</v>
      </c>
      <c r="S48">
        <v>1071</v>
      </c>
      <c r="T48">
        <v>1176</v>
      </c>
      <c r="U48">
        <v>1287</v>
      </c>
      <c r="V48">
        <v>1396</v>
      </c>
      <c r="W48">
        <v>1491</v>
      </c>
      <c r="X48">
        <v>1599</v>
      </c>
      <c r="Y48">
        <v>1720</v>
      </c>
      <c r="Z48">
        <v>1865</v>
      </c>
      <c r="AA48">
        <v>1984</v>
      </c>
      <c r="AB48">
        <v>2135</v>
      </c>
      <c r="AC48">
        <v>2277</v>
      </c>
      <c r="AD48">
        <v>2416</v>
      </c>
      <c r="AE48">
        <v>2549</v>
      </c>
    </row>
    <row r="49" spans="2:31" x14ac:dyDescent="0.25">
      <c r="C49" t="s">
        <v>10</v>
      </c>
      <c r="F49">
        <v>0</v>
      </c>
      <c r="G49">
        <f>G66-G48</f>
        <v>213</v>
      </c>
      <c r="H49">
        <f t="shared" ref="H49:AE49" si="5">H66-H48</f>
        <v>425</v>
      </c>
      <c r="I49">
        <f t="shared" si="5"/>
        <v>632</v>
      </c>
      <c r="J49">
        <f t="shared" si="5"/>
        <v>842</v>
      </c>
      <c r="K49">
        <f t="shared" si="5"/>
        <v>1107</v>
      </c>
      <c r="L49">
        <f t="shared" si="5"/>
        <v>1338</v>
      </c>
      <c r="M49">
        <f t="shared" si="5"/>
        <v>1602</v>
      </c>
      <c r="N49">
        <f t="shared" si="5"/>
        <v>1865</v>
      </c>
      <c r="O49">
        <f t="shared" si="5"/>
        <v>2124</v>
      </c>
      <c r="P49">
        <f t="shared" si="5"/>
        <v>2371</v>
      </c>
      <c r="Q49">
        <f t="shared" si="5"/>
        <v>2631</v>
      </c>
      <c r="R49">
        <f t="shared" si="5"/>
        <v>2872</v>
      </c>
      <c r="S49">
        <f t="shared" si="5"/>
        <v>3121</v>
      </c>
      <c r="T49">
        <f t="shared" si="5"/>
        <v>3365</v>
      </c>
      <c r="U49">
        <f t="shared" si="5"/>
        <v>3616</v>
      </c>
      <c r="V49">
        <f t="shared" si="5"/>
        <v>3835</v>
      </c>
      <c r="W49">
        <f t="shared" si="5"/>
        <v>4075</v>
      </c>
      <c r="X49">
        <f t="shared" si="5"/>
        <v>4322</v>
      </c>
      <c r="Y49">
        <f t="shared" si="5"/>
        <v>4543</v>
      </c>
      <c r="Z49">
        <f t="shared" si="5"/>
        <v>4762</v>
      </c>
      <c r="AA49">
        <f t="shared" si="5"/>
        <v>5012</v>
      </c>
      <c r="AB49">
        <f t="shared" si="5"/>
        <v>5272</v>
      </c>
      <c r="AC49">
        <f t="shared" si="5"/>
        <v>5517</v>
      </c>
      <c r="AD49">
        <f t="shared" si="5"/>
        <v>5750</v>
      </c>
      <c r="AE49">
        <f t="shared" si="5"/>
        <v>5994</v>
      </c>
    </row>
    <row r="52" spans="2:31" x14ac:dyDescent="0.25">
      <c r="B52" s="1" t="s">
        <v>23</v>
      </c>
      <c r="C52" s="1" t="s">
        <v>17</v>
      </c>
      <c r="F52">
        <v>0</v>
      </c>
      <c r="G52">
        <v>1</v>
      </c>
      <c r="H52">
        <v>2</v>
      </c>
      <c r="I52">
        <v>3</v>
      </c>
      <c r="J52">
        <v>4</v>
      </c>
      <c r="K52">
        <v>5</v>
      </c>
      <c r="L52">
        <v>6</v>
      </c>
      <c r="M52">
        <v>7</v>
      </c>
      <c r="N52">
        <v>8</v>
      </c>
      <c r="O52">
        <v>9</v>
      </c>
      <c r="P52">
        <v>10</v>
      </c>
      <c r="Q52">
        <v>11</v>
      </c>
      <c r="R52">
        <v>12</v>
      </c>
      <c r="S52">
        <v>13</v>
      </c>
      <c r="T52">
        <v>14</v>
      </c>
      <c r="U52">
        <v>15</v>
      </c>
      <c r="V52">
        <v>16</v>
      </c>
      <c r="W52">
        <v>17</v>
      </c>
      <c r="X52">
        <v>18</v>
      </c>
      <c r="Y52">
        <v>19</v>
      </c>
      <c r="Z52">
        <v>20</v>
      </c>
      <c r="AA52">
        <v>21</v>
      </c>
      <c r="AB52">
        <v>22</v>
      </c>
      <c r="AC52">
        <v>23</v>
      </c>
      <c r="AD52">
        <v>24</v>
      </c>
      <c r="AE52">
        <v>25</v>
      </c>
    </row>
    <row r="53" spans="2:31" x14ac:dyDescent="0.25">
      <c r="C53" t="s">
        <v>1</v>
      </c>
      <c r="D53">
        <v>22400</v>
      </c>
      <c r="E53">
        <v>416</v>
      </c>
      <c r="F53">
        <v>416</v>
      </c>
      <c r="G53">
        <v>416</v>
      </c>
      <c r="H53">
        <v>416</v>
      </c>
      <c r="I53">
        <v>416</v>
      </c>
      <c r="J53">
        <v>416</v>
      </c>
      <c r="K53">
        <v>416</v>
      </c>
      <c r="L53">
        <v>416</v>
      </c>
      <c r="M53">
        <v>416</v>
      </c>
      <c r="N53">
        <v>416</v>
      </c>
      <c r="O53">
        <v>416</v>
      </c>
      <c r="P53">
        <v>416</v>
      </c>
      <c r="Q53">
        <v>416</v>
      </c>
      <c r="R53">
        <v>416</v>
      </c>
      <c r="S53">
        <v>416</v>
      </c>
      <c r="T53">
        <v>416</v>
      </c>
      <c r="U53">
        <v>416</v>
      </c>
      <c r="V53">
        <v>416</v>
      </c>
      <c r="W53">
        <v>416</v>
      </c>
      <c r="X53">
        <v>416</v>
      </c>
      <c r="Y53">
        <v>416</v>
      </c>
      <c r="Z53">
        <v>416</v>
      </c>
      <c r="AA53">
        <v>416</v>
      </c>
      <c r="AB53">
        <v>416</v>
      </c>
      <c r="AC53">
        <v>416</v>
      </c>
      <c r="AD53">
        <v>416</v>
      </c>
      <c r="AE53">
        <v>0</v>
      </c>
    </row>
    <row r="54" spans="2:31" x14ac:dyDescent="0.25">
      <c r="C54" t="s">
        <v>2</v>
      </c>
      <c r="D54">
        <v>0</v>
      </c>
      <c r="E54">
        <v>22400</v>
      </c>
      <c r="F54">
        <v>416</v>
      </c>
      <c r="G54">
        <v>416</v>
      </c>
      <c r="H54">
        <v>416</v>
      </c>
      <c r="I54">
        <v>416</v>
      </c>
      <c r="J54">
        <v>416</v>
      </c>
      <c r="K54">
        <v>416</v>
      </c>
      <c r="L54">
        <v>416</v>
      </c>
      <c r="M54">
        <v>416</v>
      </c>
      <c r="N54">
        <v>416</v>
      </c>
      <c r="O54">
        <v>416</v>
      </c>
      <c r="P54">
        <v>416</v>
      </c>
      <c r="Q54">
        <v>416</v>
      </c>
      <c r="R54">
        <v>416</v>
      </c>
      <c r="S54">
        <v>416</v>
      </c>
      <c r="T54">
        <v>416</v>
      </c>
      <c r="U54">
        <v>416</v>
      </c>
      <c r="V54">
        <v>416</v>
      </c>
      <c r="W54">
        <v>416</v>
      </c>
      <c r="X54">
        <v>416</v>
      </c>
      <c r="Y54">
        <v>416</v>
      </c>
      <c r="Z54">
        <v>416</v>
      </c>
      <c r="AA54">
        <v>416</v>
      </c>
      <c r="AB54">
        <v>416</v>
      </c>
      <c r="AC54">
        <v>416</v>
      </c>
      <c r="AD54">
        <v>416</v>
      </c>
      <c r="AE54">
        <v>416</v>
      </c>
    </row>
    <row r="55" spans="2:31" x14ac:dyDescent="0.25">
      <c r="C55" t="s">
        <v>18</v>
      </c>
      <c r="D55">
        <v>0</v>
      </c>
      <c r="E55">
        <v>0</v>
      </c>
      <c r="F55">
        <v>8247</v>
      </c>
      <c r="G55">
        <v>7975</v>
      </c>
      <c r="H55">
        <v>7649</v>
      </c>
      <c r="I55">
        <v>7372</v>
      </c>
      <c r="J55">
        <v>7075</v>
      </c>
      <c r="K55">
        <v>6886</v>
      </c>
      <c r="L55">
        <v>6696</v>
      </c>
      <c r="M55">
        <v>6501</v>
      </c>
      <c r="N55">
        <v>6329</v>
      </c>
      <c r="O55">
        <v>6146</v>
      </c>
      <c r="P55">
        <v>6047</v>
      </c>
      <c r="Q55">
        <v>5929</v>
      </c>
      <c r="R55">
        <v>5840</v>
      </c>
      <c r="S55">
        <v>5748</v>
      </c>
      <c r="T55">
        <v>5652</v>
      </c>
      <c r="U55">
        <v>5585</v>
      </c>
      <c r="V55">
        <v>5530</v>
      </c>
      <c r="W55">
        <v>5440</v>
      </c>
      <c r="X55">
        <v>5365</v>
      </c>
      <c r="Y55">
        <v>5306</v>
      </c>
      <c r="Z55">
        <v>5255</v>
      </c>
      <c r="AA55">
        <v>5187</v>
      </c>
      <c r="AB55">
        <v>5135</v>
      </c>
      <c r="AC55">
        <v>5125</v>
      </c>
      <c r="AD55">
        <v>5136</v>
      </c>
      <c r="AE55">
        <v>5123</v>
      </c>
    </row>
    <row r="56" spans="2:31" x14ac:dyDescent="0.25">
      <c r="C56" t="s">
        <v>19</v>
      </c>
      <c r="D56">
        <v>0</v>
      </c>
      <c r="E56">
        <v>0</v>
      </c>
      <c r="F56">
        <v>6901</v>
      </c>
      <c r="G56">
        <v>7197</v>
      </c>
      <c r="H56">
        <v>7513</v>
      </c>
      <c r="I56">
        <v>7739</v>
      </c>
      <c r="J56">
        <v>8005</v>
      </c>
      <c r="K56">
        <v>8177</v>
      </c>
      <c r="L56">
        <v>8354</v>
      </c>
      <c r="M56">
        <v>8539</v>
      </c>
      <c r="N56">
        <v>8661</v>
      </c>
      <c r="O56">
        <v>8795</v>
      </c>
      <c r="P56">
        <v>8914</v>
      </c>
      <c r="Q56">
        <v>9041</v>
      </c>
      <c r="R56">
        <v>9140</v>
      </c>
      <c r="S56">
        <v>9231</v>
      </c>
      <c r="T56">
        <v>9306</v>
      </c>
      <c r="U56">
        <v>9377</v>
      </c>
      <c r="V56">
        <v>9383</v>
      </c>
      <c r="W56">
        <v>9450</v>
      </c>
      <c r="X56">
        <v>9525</v>
      </c>
      <c r="Y56">
        <v>9563</v>
      </c>
      <c r="Z56">
        <v>9620</v>
      </c>
      <c r="AA56">
        <v>9664</v>
      </c>
      <c r="AB56">
        <v>9693</v>
      </c>
      <c r="AC56">
        <v>9733</v>
      </c>
      <c r="AD56">
        <v>9714</v>
      </c>
      <c r="AE56">
        <v>9698</v>
      </c>
    </row>
    <row r="57" spans="2:31" x14ac:dyDescent="0.25">
      <c r="C57" t="s">
        <v>20</v>
      </c>
      <c r="D57">
        <v>0</v>
      </c>
      <c r="E57">
        <v>0</v>
      </c>
      <c r="F57">
        <v>7252</v>
      </c>
      <c r="G57">
        <v>7535</v>
      </c>
      <c r="H57">
        <v>7855</v>
      </c>
      <c r="I57">
        <v>8209</v>
      </c>
      <c r="J57">
        <v>8517</v>
      </c>
      <c r="K57">
        <v>8834</v>
      </c>
      <c r="L57">
        <v>9091</v>
      </c>
      <c r="M57">
        <v>9357</v>
      </c>
      <c r="N57">
        <v>9656</v>
      </c>
      <c r="O57">
        <v>9924</v>
      </c>
      <c r="P57">
        <v>10151</v>
      </c>
      <c r="Q57">
        <v>10379</v>
      </c>
      <c r="R57">
        <v>10600</v>
      </c>
      <c r="S57">
        <v>10794</v>
      </c>
      <c r="T57">
        <v>11032</v>
      </c>
      <c r="U57">
        <v>11226</v>
      </c>
      <c r="V57">
        <v>11474</v>
      </c>
      <c r="W57">
        <v>11671</v>
      </c>
      <c r="X57">
        <v>11866</v>
      </c>
      <c r="Y57">
        <v>12048</v>
      </c>
      <c r="Z57">
        <v>12192</v>
      </c>
      <c r="AA57">
        <v>12370</v>
      </c>
      <c r="AB57">
        <v>12498</v>
      </c>
      <c r="AC57">
        <v>12626</v>
      </c>
      <c r="AD57">
        <v>12777</v>
      </c>
      <c r="AE57">
        <v>12940</v>
      </c>
    </row>
    <row r="58" spans="2:31" x14ac:dyDescent="0.25">
      <c r="C58" t="s">
        <v>21</v>
      </c>
      <c r="D58">
        <v>0</v>
      </c>
      <c r="E58">
        <v>0</v>
      </c>
      <c r="F58">
        <v>0</v>
      </c>
      <c r="G58">
        <v>109</v>
      </c>
      <c r="H58">
        <v>215</v>
      </c>
      <c r="I58">
        <v>328</v>
      </c>
      <c r="J58">
        <v>467</v>
      </c>
      <c r="K58">
        <v>583</v>
      </c>
      <c r="L58">
        <v>755</v>
      </c>
      <c r="M58">
        <v>915</v>
      </c>
      <c r="N58">
        <v>1082</v>
      </c>
      <c r="O58">
        <v>1279</v>
      </c>
      <c r="P58">
        <v>1448</v>
      </c>
      <c r="Q58">
        <v>1627</v>
      </c>
      <c r="R58">
        <v>1812</v>
      </c>
      <c r="S58">
        <v>2035</v>
      </c>
      <c r="T58">
        <v>2234</v>
      </c>
      <c r="U58">
        <v>2452</v>
      </c>
      <c r="V58">
        <v>2669</v>
      </c>
      <c r="W58">
        <v>2911</v>
      </c>
      <c r="X58">
        <v>3132</v>
      </c>
      <c r="Y58">
        <v>3387</v>
      </c>
      <c r="Z58">
        <v>3653</v>
      </c>
      <c r="AA58">
        <v>3915</v>
      </c>
      <c r="AB58">
        <v>4226</v>
      </c>
      <c r="AC58">
        <v>4484</v>
      </c>
      <c r="AD58">
        <v>4757</v>
      </c>
      <c r="AE58">
        <v>5039</v>
      </c>
    </row>
    <row r="60" spans="2:31" x14ac:dyDescent="0.25">
      <c r="B60" s="1" t="s">
        <v>22</v>
      </c>
      <c r="C60" t="s">
        <v>18</v>
      </c>
      <c r="F60">
        <f>F69-F61-F62-F63</f>
        <v>6475</v>
      </c>
      <c r="G60">
        <f t="shared" ref="G60:AE60" si="6">G69-G61-G62-G63</f>
        <v>6354</v>
      </c>
      <c r="H60">
        <f t="shared" si="6"/>
        <v>6329</v>
      </c>
      <c r="I60">
        <f t="shared" si="6"/>
        <v>6236</v>
      </c>
      <c r="J60">
        <f t="shared" si="6"/>
        <v>6215</v>
      </c>
      <c r="K60">
        <f t="shared" si="6"/>
        <v>6135</v>
      </c>
      <c r="L60">
        <f t="shared" si="6"/>
        <v>6048</v>
      </c>
      <c r="M60">
        <f t="shared" si="6"/>
        <v>5960</v>
      </c>
      <c r="N60">
        <f t="shared" si="6"/>
        <v>5863</v>
      </c>
      <c r="O60">
        <f t="shared" si="6"/>
        <v>5849</v>
      </c>
      <c r="P60">
        <f t="shared" si="6"/>
        <v>5799</v>
      </c>
      <c r="Q60">
        <f t="shared" si="6"/>
        <v>5769</v>
      </c>
      <c r="R60">
        <f t="shared" si="6"/>
        <v>5758</v>
      </c>
      <c r="S60">
        <f t="shared" si="6"/>
        <v>5744</v>
      </c>
      <c r="T60">
        <f t="shared" si="6"/>
        <v>5755</v>
      </c>
      <c r="U60">
        <f t="shared" si="6"/>
        <v>5686</v>
      </c>
      <c r="V60">
        <f t="shared" si="6"/>
        <v>5753</v>
      </c>
      <c r="W60">
        <f t="shared" si="6"/>
        <v>5725</v>
      </c>
      <c r="X60">
        <f t="shared" si="6"/>
        <v>5689</v>
      </c>
      <c r="Y60">
        <f t="shared" si="6"/>
        <v>5643</v>
      </c>
      <c r="Z60">
        <f t="shared" si="6"/>
        <v>5636</v>
      </c>
      <c r="AA60">
        <f t="shared" si="6"/>
        <v>5663</v>
      </c>
      <c r="AB60">
        <f t="shared" si="6"/>
        <v>5667</v>
      </c>
      <c r="AC60">
        <f t="shared" si="6"/>
        <v>5659</v>
      </c>
      <c r="AD60">
        <f t="shared" si="6"/>
        <v>5634</v>
      </c>
      <c r="AE60">
        <f t="shared" si="6"/>
        <v>5624</v>
      </c>
    </row>
    <row r="61" spans="2:31" x14ac:dyDescent="0.25">
      <c r="C61" t="s">
        <v>19</v>
      </c>
      <c r="F61">
        <v>7585</v>
      </c>
      <c r="G61">
        <v>7743</v>
      </c>
      <c r="H61">
        <v>7782</v>
      </c>
      <c r="I61">
        <v>7853</v>
      </c>
      <c r="J61">
        <v>7920</v>
      </c>
      <c r="K61">
        <v>8006</v>
      </c>
      <c r="L61">
        <v>8100</v>
      </c>
      <c r="M61">
        <v>8186</v>
      </c>
      <c r="N61">
        <v>8270</v>
      </c>
      <c r="O61">
        <v>8261</v>
      </c>
      <c r="P61">
        <v>8319</v>
      </c>
      <c r="Q61">
        <v>8311</v>
      </c>
      <c r="R61">
        <v>8276</v>
      </c>
      <c r="S61">
        <v>8303</v>
      </c>
      <c r="T61">
        <v>8260</v>
      </c>
      <c r="U61">
        <v>8313</v>
      </c>
      <c r="V61">
        <v>8236</v>
      </c>
      <c r="W61">
        <v>8264</v>
      </c>
      <c r="X61">
        <v>8282</v>
      </c>
      <c r="Y61">
        <v>8343</v>
      </c>
      <c r="Z61">
        <v>8358</v>
      </c>
      <c r="AA61">
        <v>8315</v>
      </c>
      <c r="AB61">
        <v>8295</v>
      </c>
      <c r="AC61">
        <v>8295</v>
      </c>
      <c r="AD61">
        <v>8349</v>
      </c>
      <c r="AE61">
        <v>8365</v>
      </c>
    </row>
    <row r="62" spans="2:31" x14ac:dyDescent="0.25">
      <c r="C62" t="s">
        <v>20</v>
      </c>
      <c r="F62">
        <v>8340</v>
      </c>
      <c r="G62">
        <v>8446</v>
      </c>
      <c r="H62">
        <v>8565</v>
      </c>
      <c r="I62">
        <v>8723</v>
      </c>
      <c r="J62">
        <v>8819</v>
      </c>
      <c r="K62">
        <v>8878</v>
      </c>
      <c r="L62">
        <v>8980</v>
      </c>
      <c r="M62">
        <v>9044</v>
      </c>
      <c r="N62">
        <v>9135</v>
      </c>
      <c r="O62">
        <v>9223</v>
      </c>
      <c r="P62">
        <v>9299</v>
      </c>
      <c r="Q62">
        <v>9391</v>
      </c>
      <c r="R62">
        <v>9522</v>
      </c>
      <c r="S62">
        <v>9569</v>
      </c>
      <c r="T62">
        <v>9668</v>
      </c>
      <c r="U62">
        <v>9738</v>
      </c>
      <c r="V62">
        <v>9836</v>
      </c>
      <c r="W62">
        <v>9917</v>
      </c>
      <c r="X62">
        <v>9996</v>
      </c>
      <c r="Y62">
        <v>10055</v>
      </c>
      <c r="Z62">
        <v>10099</v>
      </c>
      <c r="AA62">
        <v>10162</v>
      </c>
      <c r="AB62">
        <v>10183</v>
      </c>
      <c r="AC62">
        <v>10220</v>
      </c>
      <c r="AD62">
        <v>10235</v>
      </c>
      <c r="AE62">
        <v>10268</v>
      </c>
    </row>
    <row r="63" spans="2:31" x14ac:dyDescent="0.25">
      <c r="C63" t="s">
        <v>21</v>
      </c>
      <c r="F63">
        <v>0</v>
      </c>
      <c r="G63">
        <f>G66</f>
        <v>273</v>
      </c>
      <c r="H63">
        <f t="shared" ref="H63:AE63" si="7">H66</f>
        <v>556</v>
      </c>
      <c r="I63">
        <f t="shared" si="7"/>
        <v>836</v>
      </c>
      <c r="J63">
        <f t="shared" si="7"/>
        <v>1110</v>
      </c>
      <c r="K63">
        <f t="shared" si="7"/>
        <v>1461</v>
      </c>
      <c r="L63">
        <f t="shared" si="7"/>
        <v>1768</v>
      </c>
      <c r="M63">
        <f t="shared" si="7"/>
        <v>2122</v>
      </c>
      <c r="N63">
        <f t="shared" si="7"/>
        <v>2460</v>
      </c>
      <c r="O63">
        <f t="shared" si="7"/>
        <v>2811</v>
      </c>
      <c r="P63">
        <f t="shared" si="7"/>
        <v>3143</v>
      </c>
      <c r="Q63">
        <f t="shared" si="7"/>
        <v>3505</v>
      </c>
      <c r="R63">
        <f t="shared" si="7"/>
        <v>3836</v>
      </c>
      <c r="S63">
        <f t="shared" si="7"/>
        <v>4192</v>
      </c>
      <c r="T63">
        <f t="shared" si="7"/>
        <v>4541</v>
      </c>
      <c r="U63">
        <f t="shared" si="7"/>
        <v>4903</v>
      </c>
      <c r="V63">
        <f t="shared" si="7"/>
        <v>5231</v>
      </c>
      <c r="W63">
        <f t="shared" si="7"/>
        <v>5566</v>
      </c>
      <c r="X63">
        <f t="shared" si="7"/>
        <v>5921</v>
      </c>
      <c r="Y63">
        <f t="shared" si="7"/>
        <v>6263</v>
      </c>
      <c r="Z63">
        <f t="shared" si="7"/>
        <v>6627</v>
      </c>
      <c r="AA63">
        <f t="shared" si="7"/>
        <v>6996</v>
      </c>
      <c r="AB63">
        <f t="shared" si="7"/>
        <v>7407</v>
      </c>
      <c r="AC63">
        <f t="shared" si="7"/>
        <v>7794</v>
      </c>
      <c r="AD63">
        <f t="shared" si="7"/>
        <v>8166</v>
      </c>
      <c r="AE63">
        <f t="shared" si="7"/>
        <v>8543</v>
      </c>
    </row>
    <row r="65" spans="3:31" x14ac:dyDescent="0.25">
      <c r="F65">
        <v>0</v>
      </c>
      <c r="G65">
        <v>1</v>
      </c>
      <c r="H65">
        <v>2</v>
      </c>
      <c r="I65">
        <v>3</v>
      </c>
      <c r="J65">
        <v>4</v>
      </c>
      <c r="K65">
        <v>5</v>
      </c>
      <c r="L65">
        <v>6</v>
      </c>
      <c r="M65">
        <v>7</v>
      </c>
      <c r="N65">
        <v>8</v>
      </c>
      <c r="O65">
        <v>9</v>
      </c>
      <c r="P65">
        <v>10</v>
      </c>
      <c r="Q65">
        <v>11</v>
      </c>
      <c r="R65">
        <v>12</v>
      </c>
      <c r="S65">
        <v>13</v>
      </c>
      <c r="T65">
        <v>14</v>
      </c>
      <c r="U65">
        <v>15</v>
      </c>
      <c r="V65">
        <v>16</v>
      </c>
      <c r="W65">
        <v>17</v>
      </c>
      <c r="X65">
        <v>18</v>
      </c>
      <c r="Y65">
        <v>19</v>
      </c>
      <c r="Z65">
        <v>20</v>
      </c>
      <c r="AA65">
        <v>21</v>
      </c>
      <c r="AB65">
        <v>22</v>
      </c>
      <c r="AC65">
        <v>23</v>
      </c>
      <c r="AD65">
        <v>24</v>
      </c>
      <c r="AE65">
        <v>25</v>
      </c>
    </row>
    <row r="66" spans="3:31" x14ac:dyDescent="0.25">
      <c r="C66" t="s">
        <v>24</v>
      </c>
      <c r="G66">
        <v>273</v>
      </c>
      <c r="H66">
        <v>556</v>
      </c>
      <c r="I66">
        <v>836</v>
      </c>
      <c r="J66">
        <v>1110</v>
      </c>
      <c r="K66">
        <v>1461</v>
      </c>
      <c r="L66">
        <v>1768</v>
      </c>
      <c r="M66">
        <v>2122</v>
      </c>
      <c r="N66">
        <v>2460</v>
      </c>
      <c r="O66">
        <v>2811</v>
      </c>
      <c r="P66">
        <v>3143</v>
      </c>
      <c r="Q66">
        <v>3505</v>
      </c>
      <c r="R66">
        <v>3836</v>
      </c>
      <c r="S66">
        <v>4192</v>
      </c>
      <c r="T66">
        <v>4541</v>
      </c>
      <c r="U66">
        <v>4903</v>
      </c>
      <c r="V66">
        <v>5231</v>
      </c>
      <c r="W66">
        <v>5566</v>
      </c>
      <c r="X66">
        <v>5921</v>
      </c>
      <c r="Y66">
        <v>6263</v>
      </c>
      <c r="Z66">
        <v>6627</v>
      </c>
      <c r="AA66">
        <v>6996</v>
      </c>
      <c r="AB66">
        <v>7407</v>
      </c>
      <c r="AC66">
        <v>7794</v>
      </c>
      <c r="AD66">
        <v>8166</v>
      </c>
      <c r="AE66">
        <v>8543</v>
      </c>
    </row>
    <row r="67" spans="3:31" x14ac:dyDescent="0.25">
      <c r="C67" t="s">
        <v>25</v>
      </c>
    </row>
    <row r="69" spans="3:31" x14ac:dyDescent="0.25">
      <c r="C69" t="s">
        <v>26</v>
      </c>
      <c r="F69">
        <v>22400</v>
      </c>
      <c r="G69">
        <v>22816</v>
      </c>
      <c r="H69">
        <v>23232</v>
      </c>
      <c r="I69">
        <v>23648</v>
      </c>
      <c r="J69">
        <v>24064</v>
      </c>
      <c r="K69">
        <v>24480</v>
      </c>
      <c r="L69">
        <v>24896</v>
      </c>
      <c r="M69">
        <v>25312</v>
      </c>
      <c r="N69">
        <v>25728</v>
      </c>
      <c r="O69">
        <v>26144</v>
      </c>
      <c r="P69">
        <v>26560</v>
      </c>
      <c r="Q69">
        <v>26976</v>
      </c>
      <c r="R69">
        <v>27392</v>
      </c>
      <c r="S69">
        <v>27808</v>
      </c>
      <c r="T69">
        <v>28224</v>
      </c>
      <c r="U69">
        <v>28640</v>
      </c>
      <c r="V69">
        <v>29056</v>
      </c>
      <c r="W69">
        <v>29472</v>
      </c>
      <c r="X69">
        <v>29888</v>
      </c>
      <c r="Y69">
        <v>30304</v>
      </c>
      <c r="Z69">
        <v>30720</v>
      </c>
      <c r="AA69">
        <v>31136</v>
      </c>
      <c r="AB69">
        <v>31552</v>
      </c>
      <c r="AC69">
        <v>31968</v>
      </c>
      <c r="AD69">
        <v>32384</v>
      </c>
      <c r="AE69">
        <v>32800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C3:AJ191"/>
  <sheetViews>
    <sheetView tabSelected="1" workbookViewId="0">
      <selection activeCell="B6" sqref="B6"/>
    </sheetView>
  </sheetViews>
  <sheetFormatPr defaultRowHeight="15" x14ac:dyDescent="0.25"/>
  <cols>
    <col min="3" max="3" width="12.42578125" customWidth="1"/>
  </cols>
  <sheetData>
    <row r="3" spans="3:31" x14ac:dyDescent="0.25">
      <c r="D3" t="s">
        <v>27</v>
      </c>
      <c r="F3">
        <v>2010</v>
      </c>
      <c r="G3">
        <v>2011</v>
      </c>
      <c r="H3">
        <v>2012</v>
      </c>
      <c r="I3">
        <v>2013</v>
      </c>
      <c r="J3">
        <v>2014</v>
      </c>
      <c r="K3">
        <v>2015</v>
      </c>
      <c r="L3">
        <v>2016</v>
      </c>
      <c r="M3">
        <v>2017</v>
      </c>
      <c r="N3">
        <v>2018</v>
      </c>
      <c r="O3">
        <v>2019</v>
      </c>
      <c r="P3">
        <v>2020</v>
      </c>
      <c r="Q3">
        <v>2021</v>
      </c>
      <c r="R3">
        <v>2022</v>
      </c>
      <c r="S3">
        <v>2023</v>
      </c>
      <c r="T3">
        <v>2024</v>
      </c>
      <c r="U3">
        <v>2025</v>
      </c>
      <c r="V3">
        <v>2026</v>
      </c>
      <c r="W3">
        <v>2027</v>
      </c>
      <c r="X3">
        <v>2028</v>
      </c>
      <c r="Y3">
        <v>2029</v>
      </c>
      <c r="Z3">
        <v>2030</v>
      </c>
      <c r="AA3">
        <v>2031</v>
      </c>
      <c r="AB3">
        <v>2032</v>
      </c>
      <c r="AC3">
        <v>2033</v>
      </c>
      <c r="AD3">
        <v>2034</v>
      </c>
      <c r="AE3">
        <v>2035</v>
      </c>
    </row>
    <row r="4" spans="3:31" x14ac:dyDescent="0.25">
      <c r="C4" t="s">
        <v>28</v>
      </c>
      <c r="D4" t="s">
        <v>1</v>
      </c>
      <c r="E4" t="s">
        <v>2</v>
      </c>
      <c r="F4">
        <v>0</v>
      </c>
      <c r="G4">
        <v>1</v>
      </c>
      <c r="H4">
        <v>2</v>
      </c>
      <c r="I4">
        <v>3</v>
      </c>
      <c r="J4">
        <v>4</v>
      </c>
      <c r="K4">
        <v>5</v>
      </c>
      <c r="L4">
        <v>6</v>
      </c>
      <c r="M4">
        <v>7</v>
      </c>
      <c r="N4">
        <v>8</v>
      </c>
      <c r="O4">
        <v>9</v>
      </c>
      <c r="P4">
        <v>10</v>
      </c>
      <c r="Q4">
        <v>11</v>
      </c>
      <c r="R4">
        <v>12</v>
      </c>
      <c r="S4">
        <v>13</v>
      </c>
      <c r="T4">
        <v>14</v>
      </c>
      <c r="U4">
        <v>15</v>
      </c>
      <c r="V4">
        <v>16</v>
      </c>
      <c r="W4">
        <v>17</v>
      </c>
      <c r="X4">
        <v>18</v>
      </c>
      <c r="Y4">
        <v>19</v>
      </c>
      <c r="Z4">
        <v>20</v>
      </c>
      <c r="AA4">
        <v>21</v>
      </c>
      <c r="AB4">
        <v>22</v>
      </c>
      <c r="AC4">
        <v>23</v>
      </c>
      <c r="AD4">
        <v>24</v>
      </c>
      <c r="AE4">
        <v>25</v>
      </c>
    </row>
    <row r="5" spans="3:31" x14ac:dyDescent="0.25">
      <c r="C5" t="s">
        <v>1</v>
      </c>
      <c r="D5">
        <v>22400</v>
      </c>
      <c r="E5">
        <v>416</v>
      </c>
      <c r="F5">
        <v>416</v>
      </c>
      <c r="G5">
        <v>416</v>
      </c>
      <c r="H5">
        <v>416</v>
      </c>
      <c r="I5">
        <v>416</v>
      </c>
      <c r="J5">
        <v>416</v>
      </c>
      <c r="K5">
        <v>416</v>
      </c>
      <c r="L5">
        <v>416</v>
      </c>
      <c r="M5">
        <v>416</v>
      </c>
      <c r="N5">
        <v>416</v>
      </c>
      <c r="O5">
        <v>416</v>
      </c>
      <c r="P5">
        <v>416</v>
      </c>
      <c r="Q5">
        <v>416</v>
      </c>
      <c r="R5">
        <v>416</v>
      </c>
      <c r="S5">
        <v>416</v>
      </c>
      <c r="T5">
        <v>416</v>
      </c>
      <c r="U5">
        <v>416</v>
      </c>
      <c r="V5">
        <v>416</v>
      </c>
      <c r="W5">
        <v>416</v>
      </c>
      <c r="X5">
        <v>416</v>
      </c>
      <c r="Y5">
        <v>416</v>
      </c>
      <c r="Z5">
        <v>416</v>
      </c>
      <c r="AA5">
        <v>416</v>
      </c>
      <c r="AB5">
        <v>416</v>
      </c>
      <c r="AC5">
        <v>416</v>
      </c>
      <c r="AD5">
        <v>416</v>
      </c>
      <c r="AE5">
        <v>0</v>
      </c>
    </row>
    <row r="6" spans="3:31" x14ac:dyDescent="0.25">
      <c r="C6" t="s">
        <v>2</v>
      </c>
      <c r="D6">
        <v>0</v>
      </c>
      <c r="E6">
        <v>22400</v>
      </c>
      <c r="F6">
        <v>416</v>
      </c>
      <c r="G6">
        <v>416</v>
      </c>
      <c r="H6">
        <v>416</v>
      </c>
      <c r="I6">
        <v>416</v>
      </c>
      <c r="J6">
        <v>416</v>
      </c>
      <c r="K6">
        <v>416</v>
      </c>
      <c r="L6">
        <v>416</v>
      </c>
      <c r="M6">
        <v>416</v>
      </c>
      <c r="N6">
        <v>416</v>
      </c>
      <c r="O6">
        <v>416</v>
      </c>
      <c r="P6">
        <v>416</v>
      </c>
      <c r="Q6">
        <v>416</v>
      </c>
      <c r="R6">
        <v>416</v>
      </c>
      <c r="S6">
        <v>416</v>
      </c>
      <c r="T6">
        <v>416</v>
      </c>
      <c r="U6">
        <v>416</v>
      </c>
      <c r="V6">
        <v>416</v>
      </c>
      <c r="W6">
        <v>416</v>
      </c>
      <c r="X6">
        <v>416</v>
      </c>
      <c r="Y6">
        <v>416</v>
      </c>
      <c r="Z6">
        <v>416</v>
      </c>
      <c r="AA6">
        <v>416</v>
      </c>
      <c r="AB6">
        <v>416</v>
      </c>
      <c r="AC6">
        <v>416</v>
      </c>
      <c r="AD6">
        <v>416</v>
      </c>
      <c r="AE6">
        <v>416</v>
      </c>
    </row>
    <row r="7" spans="3:31" x14ac:dyDescent="0.25">
      <c r="C7">
        <v>20</v>
      </c>
      <c r="D7">
        <v>0</v>
      </c>
      <c r="E7">
        <v>0</v>
      </c>
      <c r="F7">
        <v>449</v>
      </c>
      <c r="G7">
        <v>11</v>
      </c>
      <c r="H7">
        <v>7</v>
      </c>
      <c r="I7">
        <v>11</v>
      </c>
      <c r="J7">
        <v>9</v>
      </c>
      <c r="K7">
        <v>10</v>
      </c>
      <c r="L7">
        <v>6</v>
      </c>
      <c r="M7">
        <v>10</v>
      </c>
      <c r="N7">
        <v>12</v>
      </c>
      <c r="O7">
        <v>6</v>
      </c>
      <c r="P7">
        <v>12</v>
      </c>
      <c r="Q7">
        <v>6</v>
      </c>
      <c r="R7">
        <v>9</v>
      </c>
      <c r="S7">
        <v>7</v>
      </c>
      <c r="T7">
        <v>7</v>
      </c>
      <c r="U7">
        <v>8</v>
      </c>
      <c r="V7">
        <v>10</v>
      </c>
      <c r="W7">
        <v>10</v>
      </c>
      <c r="X7">
        <v>11</v>
      </c>
      <c r="Y7">
        <v>10</v>
      </c>
      <c r="Z7">
        <v>10</v>
      </c>
      <c r="AA7">
        <v>3</v>
      </c>
      <c r="AB7">
        <v>10</v>
      </c>
      <c r="AC7">
        <v>11</v>
      </c>
      <c r="AD7">
        <v>11</v>
      </c>
      <c r="AE7">
        <v>9</v>
      </c>
    </row>
    <row r="8" spans="3:31" x14ac:dyDescent="0.25">
      <c r="C8">
        <v>21</v>
      </c>
      <c r="D8">
        <v>0</v>
      </c>
      <c r="E8">
        <v>0</v>
      </c>
      <c r="F8">
        <v>421</v>
      </c>
      <c r="G8">
        <v>459</v>
      </c>
      <c r="H8">
        <v>21</v>
      </c>
      <c r="I8">
        <v>17</v>
      </c>
      <c r="J8">
        <v>19</v>
      </c>
      <c r="K8">
        <v>17</v>
      </c>
      <c r="L8">
        <v>14</v>
      </c>
      <c r="M8">
        <v>14</v>
      </c>
      <c r="N8">
        <v>18</v>
      </c>
      <c r="O8">
        <v>22</v>
      </c>
      <c r="P8">
        <v>14</v>
      </c>
      <c r="Q8">
        <v>15</v>
      </c>
      <c r="R8">
        <v>14</v>
      </c>
      <c r="S8">
        <v>20</v>
      </c>
      <c r="T8">
        <v>22</v>
      </c>
      <c r="U8">
        <v>16</v>
      </c>
      <c r="V8">
        <v>18</v>
      </c>
      <c r="W8">
        <v>20</v>
      </c>
      <c r="X8">
        <v>14</v>
      </c>
      <c r="Y8">
        <v>20</v>
      </c>
      <c r="Z8">
        <v>15</v>
      </c>
      <c r="AA8">
        <v>20</v>
      </c>
      <c r="AB8">
        <v>10</v>
      </c>
      <c r="AC8">
        <v>18</v>
      </c>
      <c r="AD8">
        <v>18</v>
      </c>
      <c r="AE8">
        <v>17</v>
      </c>
    </row>
    <row r="9" spans="3:31" x14ac:dyDescent="0.25">
      <c r="C9">
        <v>22</v>
      </c>
      <c r="D9">
        <v>0</v>
      </c>
      <c r="E9">
        <v>0</v>
      </c>
      <c r="F9">
        <v>410</v>
      </c>
      <c r="G9">
        <v>424</v>
      </c>
      <c r="H9">
        <v>464</v>
      </c>
      <c r="I9">
        <v>27</v>
      </c>
      <c r="J9">
        <v>23</v>
      </c>
      <c r="K9">
        <v>26</v>
      </c>
      <c r="L9">
        <v>27</v>
      </c>
      <c r="M9">
        <v>22</v>
      </c>
      <c r="N9">
        <v>23</v>
      </c>
      <c r="O9">
        <v>23</v>
      </c>
      <c r="P9">
        <v>30</v>
      </c>
      <c r="Q9">
        <v>21</v>
      </c>
      <c r="R9">
        <v>21</v>
      </c>
      <c r="S9">
        <v>23</v>
      </c>
      <c r="T9">
        <v>24</v>
      </c>
      <c r="U9">
        <v>30</v>
      </c>
      <c r="V9">
        <v>26</v>
      </c>
      <c r="W9">
        <v>28</v>
      </c>
      <c r="X9">
        <v>32</v>
      </c>
      <c r="Y9">
        <v>21</v>
      </c>
      <c r="Z9">
        <v>32</v>
      </c>
      <c r="AA9">
        <v>23</v>
      </c>
      <c r="AB9">
        <v>28</v>
      </c>
      <c r="AC9">
        <v>23</v>
      </c>
      <c r="AD9">
        <v>24</v>
      </c>
      <c r="AE9">
        <v>23</v>
      </c>
    </row>
    <row r="10" spans="3:31" x14ac:dyDescent="0.25">
      <c r="C10">
        <v>23</v>
      </c>
      <c r="D10">
        <v>0</v>
      </c>
      <c r="E10">
        <v>0</v>
      </c>
      <c r="F10">
        <v>428</v>
      </c>
      <c r="G10">
        <v>422</v>
      </c>
      <c r="H10">
        <v>440</v>
      </c>
      <c r="I10">
        <v>472</v>
      </c>
      <c r="J10">
        <v>37</v>
      </c>
      <c r="K10">
        <v>29</v>
      </c>
      <c r="L10">
        <v>35</v>
      </c>
      <c r="M10">
        <v>32</v>
      </c>
      <c r="N10">
        <v>34</v>
      </c>
      <c r="O10">
        <v>27</v>
      </c>
      <c r="P10">
        <v>29</v>
      </c>
      <c r="Q10">
        <v>40</v>
      </c>
      <c r="R10">
        <v>31</v>
      </c>
      <c r="S10">
        <v>28</v>
      </c>
      <c r="T10">
        <v>28</v>
      </c>
      <c r="U10">
        <v>38</v>
      </c>
      <c r="V10">
        <v>38</v>
      </c>
      <c r="W10">
        <v>37</v>
      </c>
      <c r="X10">
        <v>32</v>
      </c>
      <c r="Y10">
        <v>39</v>
      </c>
      <c r="Z10">
        <v>30</v>
      </c>
      <c r="AA10">
        <v>44</v>
      </c>
      <c r="AB10">
        <v>29</v>
      </c>
      <c r="AC10">
        <v>36</v>
      </c>
      <c r="AD10">
        <v>32</v>
      </c>
      <c r="AE10">
        <v>32</v>
      </c>
    </row>
    <row r="11" spans="3:31" x14ac:dyDescent="0.25">
      <c r="C11">
        <v>24</v>
      </c>
      <c r="D11">
        <v>0</v>
      </c>
      <c r="E11">
        <v>0</v>
      </c>
      <c r="F11">
        <v>402</v>
      </c>
      <c r="G11">
        <v>438</v>
      </c>
      <c r="H11">
        <v>426</v>
      </c>
      <c r="I11">
        <v>449</v>
      </c>
      <c r="J11">
        <v>477</v>
      </c>
      <c r="K11">
        <v>42</v>
      </c>
      <c r="L11">
        <v>37</v>
      </c>
      <c r="M11">
        <v>43</v>
      </c>
      <c r="N11">
        <v>41</v>
      </c>
      <c r="O11">
        <v>48</v>
      </c>
      <c r="P11">
        <v>33</v>
      </c>
      <c r="Q11">
        <v>36</v>
      </c>
      <c r="R11">
        <v>45</v>
      </c>
      <c r="S11">
        <v>39</v>
      </c>
      <c r="T11">
        <v>39</v>
      </c>
      <c r="U11">
        <v>32</v>
      </c>
      <c r="V11">
        <v>40</v>
      </c>
      <c r="W11">
        <v>44</v>
      </c>
      <c r="X11">
        <v>51</v>
      </c>
      <c r="Y11">
        <v>43</v>
      </c>
      <c r="Z11">
        <v>49</v>
      </c>
      <c r="AA11">
        <v>40</v>
      </c>
      <c r="AB11">
        <v>58</v>
      </c>
      <c r="AC11">
        <v>39</v>
      </c>
      <c r="AD11">
        <v>41</v>
      </c>
      <c r="AE11">
        <v>41</v>
      </c>
    </row>
    <row r="12" spans="3:31" x14ac:dyDescent="0.25">
      <c r="C12">
        <v>25</v>
      </c>
      <c r="D12">
        <v>0</v>
      </c>
      <c r="E12">
        <v>0</v>
      </c>
      <c r="F12">
        <v>415</v>
      </c>
      <c r="G12">
        <v>412</v>
      </c>
      <c r="H12">
        <v>446</v>
      </c>
      <c r="I12">
        <v>429</v>
      </c>
      <c r="J12">
        <v>453</v>
      </c>
      <c r="K12">
        <v>483</v>
      </c>
      <c r="L12">
        <v>49</v>
      </c>
      <c r="M12">
        <v>45</v>
      </c>
      <c r="N12">
        <v>51</v>
      </c>
      <c r="O12">
        <v>44</v>
      </c>
      <c r="P12">
        <v>53</v>
      </c>
      <c r="Q12">
        <v>43</v>
      </c>
      <c r="R12">
        <v>45</v>
      </c>
      <c r="S12">
        <v>51</v>
      </c>
      <c r="T12">
        <v>48</v>
      </c>
      <c r="U12">
        <v>44</v>
      </c>
      <c r="V12">
        <v>38</v>
      </c>
      <c r="W12">
        <v>48</v>
      </c>
      <c r="X12">
        <v>49</v>
      </c>
      <c r="Y12">
        <v>59</v>
      </c>
      <c r="Z12">
        <v>48</v>
      </c>
      <c r="AA12">
        <v>58</v>
      </c>
      <c r="AB12">
        <v>46</v>
      </c>
      <c r="AC12">
        <v>67</v>
      </c>
      <c r="AD12">
        <v>43</v>
      </c>
      <c r="AE12">
        <v>50</v>
      </c>
    </row>
    <row r="13" spans="3:31" x14ac:dyDescent="0.25">
      <c r="C13">
        <v>26</v>
      </c>
      <c r="D13">
        <v>0</v>
      </c>
      <c r="E13">
        <v>0</v>
      </c>
      <c r="F13">
        <v>467</v>
      </c>
      <c r="G13">
        <v>424</v>
      </c>
      <c r="H13">
        <v>420</v>
      </c>
      <c r="I13">
        <v>450</v>
      </c>
      <c r="J13">
        <v>438</v>
      </c>
      <c r="K13">
        <v>464</v>
      </c>
      <c r="L13">
        <v>491</v>
      </c>
      <c r="M13">
        <v>63</v>
      </c>
      <c r="N13">
        <v>54</v>
      </c>
      <c r="O13">
        <v>59</v>
      </c>
      <c r="P13">
        <v>52</v>
      </c>
      <c r="Q13">
        <v>61</v>
      </c>
      <c r="R13">
        <v>50</v>
      </c>
      <c r="S13">
        <v>51</v>
      </c>
      <c r="T13">
        <v>63</v>
      </c>
      <c r="U13">
        <v>57</v>
      </c>
      <c r="V13">
        <v>54</v>
      </c>
      <c r="W13">
        <v>41</v>
      </c>
      <c r="X13">
        <v>57</v>
      </c>
      <c r="Y13">
        <v>54</v>
      </c>
      <c r="Z13">
        <v>70</v>
      </c>
      <c r="AA13">
        <v>50</v>
      </c>
      <c r="AB13">
        <v>62</v>
      </c>
      <c r="AC13">
        <v>53</v>
      </c>
      <c r="AD13">
        <v>74</v>
      </c>
      <c r="AE13">
        <v>53</v>
      </c>
    </row>
    <row r="14" spans="3:31" x14ac:dyDescent="0.25">
      <c r="C14">
        <v>27</v>
      </c>
      <c r="D14">
        <v>0</v>
      </c>
      <c r="E14">
        <v>0</v>
      </c>
      <c r="F14">
        <v>428</v>
      </c>
      <c r="G14">
        <v>470</v>
      </c>
      <c r="H14">
        <v>434</v>
      </c>
      <c r="I14">
        <v>431</v>
      </c>
      <c r="J14">
        <v>454</v>
      </c>
      <c r="K14">
        <v>447</v>
      </c>
      <c r="L14">
        <v>469</v>
      </c>
      <c r="M14">
        <v>499</v>
      </c>
      <c r="N14">
        <v>68</v>
      </c>
      <c r="O14">
        <v>56</v>
      </c>
      <c r="P14">
        <v>68</v>
      </c>
      <c r="Q14">
        <v>60</v>
      </c>
      <c r="R14">
        <v>68</v>
      </c>
      <c r="S14">
        <v>56</v>
      </c>
      <c r="T14">
        <v>57</v>
      </c>
      <c r="U14">
        <v>69</v>
      </c>
      <c r="V14">
        <v>64</v>
      </c>
      <c r="W14">
        <v>60</v>
      </c>
      <c r="X14">
        <v>54</v>
      </c>
      <c r="Y14">
        <v>63</v>
      </c>
      <c r="Z14">
        <v>57</v>
      </c>
      <c r="AA14">
        <v>80</v>
      </c>
      <c r="AB14">
        <v>59</v>
      </c>
      <c r="AC14">
        <v>71</v>
      </c>
      <c r="AD14">
        <v>71</v>
      </c>
      <c r="AE14">
        <v>80</v>
      </c>
    </row>
    <row r="15" spans="3:31" x14ac:dyDescent="0.25">
      <c r="C15">
        <v>28</v>
      </c>
      <c r="D15">
        <v>0</v>
      </c>
      <c r="E15">
        <v>0</v>
      </c>
      <c r="F15">
        <v>430</v>
      </c>
      <c r="G15">
        <v>431</v>
      </c>
      <c r="H15">
        <v>476</v>
      </c>
      <c r="I15">
        <v>441</v>
      </c>
      <c r="J15">
        <v>439</v>
      </c>
      <c r="K15">
        <v>459</v>
      </c>
      <c r="L15">
        <v>452</v>
      </c>
      <c r="M15">
        <v>474</v>
      </c>
      <c r="N15">
        <v>506</v>
      </c>
      <c r="O15">
        <v>80</v>
      </c>
      <c r="P15">
        <v>67</v>
      </c>
      <c r="Q15">
        <v>73</v>
      </c>
      <c r="R15">
        <v>71</v>
      </c>
      <c r="S15">
        <v>71</v>
      </c>
      <c r="T15">
        <v>71</v>
      </c>
      <c r="U15">
        <v>64</v>
      </c>
      <c r="V15">
        <v>77</v>
      </c>
      <c r="W15">
        <v>72</v>
      </c>
      <c r="X15">
        <v>66</v>
      </c>
      <c r="Y15">
        <v>61</v>
      </c>
      <c r="Z15">
        <v>76</v>
      </c>
      <c r="AA15">
        <v>70</v>
      </c>
      <c r="AB15">
        <v>87</v>
      </c>
      <c r="AC15">
        <v>67</v>
      </c>
      <c r="AD15">
        <v>79</v>
      </c>
      <c r="AE15">
        <v>78</v>
      </c>
    </row>
    <row r="16" spans="3:31" x14ac:dyDescent="0.25">
      <c r="C16">
        <v>29</v>
      </c>
      <c r="D16">
        <v>0</v>
      </c>
      <c r="E16">
        <v>0</v>
      </c>
      <c r="F16">
        <v>427</v>
      </c>
      <c r="G16">
        <v>436</v>
      </c>
      <c r="H16">
        <v>441</v>
      </c>
      <c r="I16">
        <v>482</v>
      </c>
      <c r="J16">
        <v>449</v>
      </c>
      <c r="K16">
        <v>448</v>
      </c>
      <c r="L16">
        <v>471</v>
      </c>
      <c r="M16">
        <v>456</v>
      </c>
      <c r="N16">
        <v>481</v>
      </c>
      <c r="O16">
        <v>513</v>
      </c>
      <c r="P16">
        <v>89</v>
      </c>
      <c r="Q16">
        <v>75</v>
      </c>
      <c r="R16">
        <v>81</v>
      </c>
      <c r="S16">
        <v>77</v>
      </c>
      <c r="T16">
        <v>77</v>
      </c>
      <c r="U16">
        <v>80</v>
      </c>
      <c r="V16">
        <v>68</v>
      </c>
      <c r="W16">
        <v>85</v>
      </c>
      <c r="X16">
        <v>78</v>
      </c>
      <c r="Y16">
        <v>70</v>
      </c>
      <c r="Z16">
        <v>69</v>
      </c>
      <c r="AA16">
        <v>83</v>
      </c>
      <c r="AB16">
        <v>82</v>
      </c>
      <c r="AC16">
        <v>96</v>
      </c>
      <c r="AD16">
        <v>81</v>
      </c>
      <c r="AE16">
        <v>87</v>
      </c>
    </row>
    <row r="17" spans="3:31" x14ac:dyDescent="0.25">
      <c r="C17">
        <v>30</v>
      </c>
      <c r="D17">
        <v>0</v>
      </c>
      <c r="E17">
        <v>0</v>
      </c>
      <c r="F17">
        <v>391</v>
      </c>
      <c r="G17">
        <v>437</v>
      </c>
      <c r="H17">
        <v>440</v>
      </c>
      <c r="I17">
        <v>448</v>
      </c>
      <c r="J17">
        <v>488</v>
      </c>
      <c r="K17">
        <v>460</v>
      </c>
      <c r="L17">
        <v>456</v>
      </c>
      <c r="M17">
        <v>481</v>
      </c>
      <c r="N17">
        <v>464</v>
      </c>
      <c r="O17">
        <v>483</v>
      </c>
      <c r="P17">
        <v>518</v>
      </c>
      <c r="Q17">
        <v>94</v>
      </c>
      <c r="R17">
        <v>82</v>
      </c>
      <c r="S17">
        <v>89</v>
      </c>
      <c r="T17">
        <v>91</v>
      </c>
      <c r="U17">
        <v>86</v>
      </c>
      <c r="V17">
        <v>85</v>
      </c>
      <c r="W17">
        <v>76</v>
      </c>
      <c r="X17">
        <v>95</v>
      </c>
      <c r="Y17">
        <v>91</v>
      </c>
      <c r="Z17">
        <v>78</v>
      </c>
      <c r="AA17">
        <v>79</v>
      </c>
      <c r="AB17">
        <v>91</v>
      </c>
      <c r="AC17">
        <v>87</v>
      </c>
      <c r="AD17">
        <v>111</v>
      </c>
      <c r="AE17">
        <v>92</v>
      </c>
    </row>
    <row r="18" spans="3:31" x14ac:dyDescent="0.25">
      <c r="C18">
        <v>31</v>
      </c>
      <c r="D18">
        <v>0</v>
      </c>
      <c r="E18">
        <v>0</v>
      </c>
      <c r="F18">
        <v>386</v>
      </c>
      <c r="G18">
        <v>395</v>
      </c>
      <c r="H18">
        <v>442</v>
      </c>
      <c r="I18">
        <v>449</v>
      </c>
      <c r="J18">
        <v>456</v>
      </c>
      <c r="K18">
        <v>497</v>
      </c>
      <c r="L18">
        <v>465</v>
      </c>
      <c r="M18">
        <v>465</v>
      </c>
      <c r="N18">
        <v>490</v>
      </c>
      <c r="O18">
        <v>470</v>
      </c>
      <c r="P18">
        <v>490</v>
      </c>
      <c r="Q18">
        <v>525</v>
      </c>
      <c r="R18">
        <v>103</v>
      </c>
      <c r="S18">
        <v>87</v>
      </c>
      <c r="T18">
        <v>96</v>
      </c>
      <c r="U18">
        <v>97</v>
      </c>
      <c r="V18">
        <v>91</v>
      </c>
      <c r="W18">
        <v>94</v>
      </c>
      <c r="X18">
        <v>79</v>
      </c>
      <c r="Y18">
        <v>103</v>
      </c>
      <c r="Z18">
        <v>97</v>
      </c>
      <c r="AA18">
        <v>86</v>
      </c>
      <c r="AB18">
        <v>86</v>
      </c>
      <c r="AC18">
        <v>99</v>
      </c>
      <c r="AD18">
        <v>92</v>
      </c>
      <c r="AE18">
        <v>116</v>
      </c>
    </row>
    <row r="19" spans="3:31" x14ac:dyDescent="0.25">
      <c r="C19">
        <v>32</v>
      </c>
      <c r="D19">
        <v>0</v>
      </c>
      <c r="E19">
        <v>0</v>
      </c>
      <c r="F19">
        <v>403</v>
      </c>
      <c r="G19">
        <v>393</v>
      </c>
      <c r="H19">
        <v>400</v>
      </c>
      <c r="I19">
        <v>447</v>
      </c>
      <c r="J19">
        <v>461</v>
      </c>
      <c r="K19">
        <v>466</v>
      </c>
      <c r="L19">
        <v>508</v>
      </c>
      <c r="M19">
        <v>469</v>
      </c>
      <c r="N19">
        <v>471</v>
      </c>
      <c r="O19">
        <v>500</v>
      </c>
      <c r="P19">
        <v>474</v>
      </c>
      <c r="Q19">
        <v>494</v>
      </c>
      <c r="R19">
        <v>534</v>
      </c>
      <c r="S19">
        <v>110</v>
      </c>
      <c r="T19">
        <v>97</v>
      </c>
      <c r="U19">
        <v>99</v>
      </c>
      <c r="V19">
        <v>105</v>
      </c>
      <c r="W19">
        <v>92</v>
      </c>
      <c r="X19">
        <v>102</v>
      </c>
      <c r="Y19">
        <v>85</v>
      </c>
      <c r="Z19">
        <v>112</v>
      </c>
      <c r="AA19">
        <v>103</v>
      </c>
      <c r="AB19">
        <v>98</v>
      </c>
      <c r="AC19">
        <v>96</v>
      </c>
      <c r="AD19">
        <v>101</v>
      </c>
      <c r="AE19">
        <v>98</v>
      </c>
    </row>
    <row r="20" spans="3:31" x14ac:dyDescent="0.25">
      <c r="C20">
        <v>33</v>
      </c>
      <c r="D20">
        <v>0</v>
      </c>
      <c r="E20">
        <v>0</v>
      </c>
      <c r="F20">
        <v>382</v>
      </c>
      <c r="G20">
        <v>404</v>
      </c>
      <c r="H20">
        <v>402</v>
      </c>
      <c r="I20">
        <v>404</v>
      </c>
      <c r="J20">
        <v>452</v>
      </c>
      <c r="K20">
        <v>470</v>
      </c>
      <c r="L20">
        <v>473</v>
      </c>
      <c r="M20">
        <v>518</v>
      </c>
      <c r="N20">
        <v>474</v>
      </c>
      <c r="O20">
        <v>481</v>
      </c>
      <c r="P20">
        <v>508</v>
      </c>
      <c r="Q20">
        <v>484</v>
      </c>
      <c r="R20">
        <v>503</v>
      </c>
      <c r="S20">
        <v>546</v>
      </c>
      <c r="T20">
        <v>115</v>
      </c>
      <c r="U20">
        <v>104</v>
      </c>
      <c r="V20">
        <v>110</v>
      </c>
      <c r="W20">
        <v>118</v>
      </c>
      <c r="X20">
        <v>103</v>
      </c>
      <c r="Y20">
        <v>105</v>
      </c>
      <c r="Z20">
        <v>92</v>
      </c>
      <c r="AA20">
        <v>119</v>
      </c>
      <c r="AB20">
        <v>109</v>
      </c>
      <c r="AC20">
        <v>107</v>
      </c>
      <c r="AD20">
        <v>107</v>
      </c>
      <c r="AE20">
        <v>105</v>
      </c>
    </row>
    <row r="21" spans="3:31" x14ac:dyDescent="0.25">
      <c r="C21">
        <v>34</v>
      </c>
      <c r="D21">
        <v>0</v>
      </c>
      <c r="E21">
        <v>0</v>
      </c>
      <c r="F21">
        <v>402</v>
      </c>
      <c r="G21">
        <v>392</v>
      </c>
      <c r="H21">
        <v>408</v>
      </c>
      <c r="I21">
        <v>411</v>
      </c>
      <c r="J21">
        <v>406</v>
      </c>
      <c r="K21">
        <v>460</v>
      </c>
      <c r="L21">
        <v>480</v>
      </c>
      <c r="M21">
        <v>478</v>
      </c>
      <c r="N21">
        <v>526</v>
      </c>
      <c r="O21">
        <v>485</v>
      </c>
      <c r="P21">
        <v>493</v>
      </c>
      <c r="Q21">
        <v>514</v>
      </c>
      <c r="R21">
        <v>490</v>
      </c>
      <c r="S21">
        <v>507</v>
      </c>
      <c r="T21">
        <v>549</v>
      </c>
      <c r="U21">
        <v>119</v>
      </c>
      <c r="V21">
        <v>111</v>
      </c>
      <c r="W21">
        <v>124</v>
      </c>
      <c r="X21">
        <v>125</v>
      </c>
      <c r="Y21">
        <v>114</v>
      </c>
      <c r="Z21">
        <v>107</v>
      </c>
      <c r="AA21">
        <v>104</v>
      </c>
      <c r="AB21">
        <v>125</v>
      </c>
      <c r="AC21">
        <v>120</v>
      </c>
      <c r="AD21">
        <v>117</v>
      </c>
      <c r="AE21">
        <v>111</v>
      </c>
    </row>
    <row r="22" spans="3:31" x14ac:dyDescent="0.25">
      <c r="C22">
        <v>35</v>
      </c>
      <c r="D22">
        <v>0</v>
      </c>
      <c r="E22">
        <v>0</v>
      </c>
      <c r="F22">
        <v>403</v>
      </c>
      <c r="G22">
        <v>408</v>
      </c>
      <c r="H22">
        <v>395</v>
      </c>
      <c r="I22">
        <v>414</v>
      </c>
      <c r="J22">
        <v>416</v>
      </c>
      <c r="K22">
        <v>414</v>
      </c>
      <c r="L22">
        <v>468</v>
      </c>
      <c r="M22">
        <v>488</v>
      </c>
      <c r="N22">
        <v>483</v>
      </c>
      <c r="O22">
        <v>535</v>
      </c>
      <c r="P22">
        <v>492</v>
      </c>
      <c r="Q22">
        <v>500</v>
      </c>
      <c r="R22">
        <v>517</v>
      </c>
      <c r="S22">
        <v>498</v>
      </c>
      <c r="T22">
        <v>517</v>
      </c>
      <c r="U22">
        <v>552</v>
      </c>
      <c r="V22">
        <v>126</v>
      </c>
      <c r="W22">
        <v>117</v>
      </c>
      <c r="X22">
        <v>131</v>
      </c>
      <c r="Y22">
        <v>126</v>
      </c>
      <c r="Z22">
        <v>121</v>
      </c>
      <c r="AA22">
        <v>115</v>
      </c>
      <c r="AB22">
        <v>108</v>
      </c>
      <c r="AC22">
        <v>135</v>
      </c>
      <c r="AD22">
        <v>127</v>
      </c>
      <c r="AE22">
        <v>129</v>
      </c>
    </row>
    <row r="23" spans="3:31" x14ac:dyDescent="0.25">
      <c r="C23">
        <v>36</v>
      </c>
      <c r="D23">
        <v>0</v>
      </c>
      <c r="E23">
        <v>0</v>
      </c>
      <c r="F23">
        <v>410</v>
      </c>
      <c r="G23">
        <v>408</v>
      </c>
      <c r="H23">
        <v>419</v>
      </c>
      <c r="I23">
        <v>405</v>
      </c>
      <c r="J23">
        <v>423</v>
      </c>
      <c r="K23">
        <v>427</v>
      </c>
      <c r="L23">
        <v>428</v>
      </c>
      <c r="M23">
        <v>475</v>
      </c>
      <c r="N23">
        <v>498</v>
      </c>
      <c r="O23">
        <v>490</v>
      </c>
      <c r="P23">
        <v>537</v>
      </c>
      <c r="Q23">
        <v>503</v>
      </c>
      <c r="R23">
        <v>513</v>
      </c>
      <c r="S23">
        <v>525</v>
      </c>
      <c r="T23">
        <v>503</v>
      </c>
      <c r="U23">
        <v>524</v>
      </c>
      <c r="V23">
        <v>559</v>
      </c>
      <c r="W23">
        <v>135</v>
      </c>
      <c r="X23">
        <v>126</v>
      </c>
      <c r="Y23">
        <v>138</v>
      </c>
      <c r="Z23">
        <v>131</v>
      </c>
      <c r="AA23">
        <v>127</v>
      </c>
      <c r="AB23">
        <v>124</v>
      </c>
      <c r="AC23">
        <v>113</v>
      </c>
      <c r="AD23">
        <v>139</v>
      </c>
      <c r="AE23">
        <v>131</v>
      </c>
    </row>
    <row r="24" spans="3:31" x14ac:dyDescent="0.25">
      <c r="C24">
        <v>37</v>
      </c>
      <c r="D24">
        <v>0</v>
      </c>
      <c r="E24">
        <v>0</v>
      </c>
      <c r="F24">
        <v>388</v>
      </c>
      <c r="G24">
        <v>417</v>
      </c>
      <c r="H24">
        <v>416</v>
      </c>
      <c r="I24">
        <v>424</v>
      </c>
      <c r="J24">
        <v>421</v>
      </c>
      <c r="K24">
        <v>426</v>
      </c>
      <c r="L24">
        <v>431</v>
      </c>
      <c r="M24">
        <v>432</v>
      </c>
      <c r="N24">
        <v>482</v>
      </c>
      <c r="O24">
        <v>503</v>
      </c>
      <c r="P24">
        <v>501</v>
      </c>
      <c r="Q24">
        <v>552</v>
      </c>
      <c r="R24">
        <v>511</v>
      </c>
      <c r="S24">
        <v>518</v>
      </c>
      <c r="T24">
        <v>538</v>
      </c>
      <c r="U24">
        <v>507</v>
      </c>
      <c r="V24">
        <v>532</v>
      </c>
      <c r="W24">
        <v>567</v>
      </c>
      <c r="X24">
        <v>137</v>
      </c>
      <c r="Y24">
        <v>130</v>
      </c>
      <c r="Z24">
        <v>143</v>
      </c>
      <c r="AA24">
        <v>138</v>
      </c>
      <c r="AB24">
        <v>136</v>
      </c>
      <c r="AC24">
        <v>134</v>
      </c>
      <c r="AD24">
        <v>119</v>
      </c>
      <c r="AE24">
        <v>147</v>
      </c>
    </row>
    <row r="25" spans="3:31" x14ac:dyDescent="0.25">
      <c r="C25">
        <v>38</v>
      </c>
      <c r="D25">
        <v>0</v>
      </c>
      <c r="E25">
        <v>0</v>
      </c>
      <c r="F25">
        <v>409</v>
      </c>
      <c r="G25">
        <v>391</v>
      </c>
      <c r="H25">
        <v>422</v>
      </c>
      <c r="I25">
        <v>425</v>
      </c>
      <c r="J25">
        <v>426</v>
      </c>
      <c r="K25">
        <v>425</v>
      </c>
      <c r="L25">
        <v>431</v>
      </c>
      <c r="M25">
        <v>441</v>
      </c>
      <c r="N25">
        <v>442</v>
      </c>
      <c r="O25">
        <v>487</v>
      </c>
      <c r="P25">
        <v>513</v>
      </c>
      <c r="Q25">
        <v>506</v>
      </c>
      <c r="R25">
        <v>560</v>
      </c>
      <c r="S25">
        <v>523</v>
      </c>
      <c r="T25">
        <v>521</v>
      </c>
      <c r="U25">
        <v>544</v>
      </c>
      <c r="V25">
        <v>518</v>
      </c>
      <c r="W25">
        <v>540</v>
      </c>
      <c r="X25">
        <v>571</v>
      </c>
      <c r="Y25">
        <v>147</v>
      </c>
      <c r="Z25">
        <v>138</v>
      </c>
      <c r="AA25">
        <v>151</v>
      </c>
      <c r="AB25">
        <v>149</v>
      </c>
      <c r="AC25">
        <v>143</v>
      </c>
      <c r="AD25">
        <v>147</v>
      </c>
      <c r="AE25">
        <v>126</v>
      </c>
    </row>
    <row r="26" spans="3:31" x14ac:dyDescent="0.25">
      <c r="C26">
        <v>39</v>
      </c>
      <c r="D26">
        <v>0</v>
      </c>
      <c r="E26">
        <v>0</v>
      </c>
      <c r="F26">
        <v>407</v>
      </c>
      <c r="G26">
        <v>418</v>
      </c>
      <c r="H26">
        <v>402</v>
      </c>
      <c r="I26">
        <v>426</v>
      </c>
      <c r="J26">
        <v>426</v>
      </c>
      <c r="K26">
        <v>434</v>
      </c>
      <c r="L26">
        <v>432</v>
      </c>
      <c r="M26">
        <v>435</v>
      </c>
      <c r="N26">
        <v>449</v>
      </c>
      <c r="O26">
        <v>447</v>
      </c>
      <c r="P26">
        <v>497</v>
      </c>
      <c r="Q26">
        <v>521</v>
      </c>
      <c r="R26">
        <v>514</v>
      </c>
      <c r="S26">
        <v>567</v>
      </c>
      <c r="T26">
        <v>529</v>
      </c>
      <c r="U26">
        <v>527</v>
      </c>
      <c r="V26">
        <v>553</v>
      </c>
      <c r="W26">
        <v>531</v>
      </c>
      <c r="X26">
        <v>547</v>
      </c>
      <c r="Y26">
        <v>578</v>
      </c>
      <c r="Z26">
        <v>157</v>
      </c>
      <c r="AA26">
        <v>141</v>
      </c>
      <c r="AB26">
        <v>158</v>
      </c>
      <c r="AC26">
        <v>155</v>
      </c>
      <c r="AD26">
        <v>147</v>
      </c>
      <c r="AE26">
        <v>151</v>
      </c>
    </row>
    <row r="27" spans="3:31" x14ac:dyDescent="0.25">
      <c r="C27">
        <v>40</v>
      </c>
      <c r="D27">
        <v>0</v>
      </c>
      <c r="E27">
        <v>0</v>
      </c>
      <c r="F27">
        <v>446</v>
      </c>
      <c r="G27">
        <v>415</v>
      </c>
      <c r="H27">
        <v>430</v>
      </c>
      <c r="I27">
        <v>410</v>
      </c>
      <c r="J27">
        <v>432</v>
      </c>
      <c r="K27">
        <v>436</v>
      </c>
      <c r="L27">
        <v>442</v>
      </c>
      <c r="M27">
        <v>438</v>
      </c>
      <c r="N27">
        <v>441</v>
      </c>
      <c r="O27">
        <v>455</v>
      </c>
      <c r="P27">
        <v>457</v>
      </c>
      <c r="Q27">
        <v>504</v>
      </c>
      <c r="R27">
        <v>528</v>
      </c>
      <c r="S27">
        <v>526</v>
      </c>
      <c r="T27">
        <v>575</v>
      </c>
      <c r="U27">
        <v>533</v>
      </c>
      <c r="V27">
        <v>530</v>
      </c>
      <c r="W27">
        <v>557</v>
      </c>
      <c r="X27">
        <v>543</v>
      </c>
      <c r="Y27">
        <v>554</v>
      </c>
      <c r="Z27">
        <v>587</v>
      </c>
      <c r="AA27">
        <v>163</v>
      </c>
      <c r="AB27">
        <v>147</v>
      </c>
      <c r="AC27">
        <v>166</v>
      </c>
      <c r="AD27">
        <v>159</v>
      </c>
      <c r="AE27">
        <v>155</v>
      </c>
    </row>
    <row r="28" spans="3:31" x14ac:dyDescent="0.25">
      <c r="C28">
        <v>41</v>
      </c>
      <c r="D28">
        <v>0</v>
      </c>
      <c r="E28">
        <v>0</v>
      </c>
      <c r="F28">
        <v>417</v>
      </c>
      <c r="G28">
        <v>450</v>
      </c>
      <c r="H28">
        <v>421</v>
      </c>
      <c r="I28">
        <v>437</v>
      </c>
      <c r="J28">
        <v>414</v>
      </c>
      <c r="K28">
        <v>440</v>
      </c>
      <c r="L28">
        <v>439</v>
      </c>
      <c r="M28">
        <v>450</v>
      </c>
      <c r="N28">
        <v>440</v>
      </c>
      <c r="O28">
        <v>448</v>
      </c>
      <c r="P28">
        <v>463</v>
      </c>
      <c r="Q28">
        <v>465</v>
      </c>
      <c r="R28">
        <v>512</v>
      </c>
      <c r="S28">
        <v>535</v>
      </c>
      <c r="T28">
        <v>534</v>
      </c>
      <c r="U28">
        <v>584</v>
      </c>
      <c r="V28">
        <v>540</v>
      </c>
      <c r="W28">
        <v>536</v>
      </c>
      <c r="X28">
        <v>566</v>
      </c>
      <c r="Y28">
        <v>550</v>
      </c>
      <c r="Z28">
        <v>557</v>
      </c>
      <c r="AA28">
        <v>589</v>
      </c>
      <c r="AB28">
        <v>171</v>
      </c>
      <c r="AC28">
        <v>154</v>
      </c>
      <c r="AD28">
        <v>170</v>
      </c>
      <c r="AE28">
        <v>168</v>
      </c>
    </row>
    <row r="29" spans="3:31" x14ac:dyDescent="0.25">
      <c r="C29">
        <v>42</v>
      </c>
      <c r="D29">
        <v>0</v>
      </c>
      <c r="E29">
        <v>0</v>
      </c>
      <c r="F29">
        <v>403</v>
      </c>
      <c r="G29">
        <v>423</v>
      </c>
      <c r="H29">
        <v>459</v>
      </c>
      <c r="I29">
        <v>426</v>
      </c>
      <c r="J29">
        <v>444</v>
      </c>
      <c r="K29">
        <v>418</v>
      </c>
      <c r="L29">
        <v>448</v>
      </c>
      <c r="M29">
        <v>443</v>
      </c>
      <c r="N29">
        <v>456</v>
      </c>
      <c r="O29">
        <v>446</v>
      </c>
      <c r="P29">
        <v>458</v>
      </c>
      <c r="Q29">
        <v>467</v>
      </c>
      <c r="R29">
        <v>471</v>
      </c>
      <c r="S29">
        <v>520</v>
      </c>
      <c r="T29">
        <v>547</v>
      </c>
      <c r="U29">
        <v>546</v>
      </c>
      <c r="V29">
        <v>590</v>
      </c>
      <c r="W29">
        <v>546</v>
      </c>
      <c r="X29">
        <v>544</v>
      </c>
      <c r="Y29">
        <v>569</v>
      </c>
      <c r="Z29">
        <v>551</v>
      </c>
      <c r="AA29">
        <v>564</v>
      </c>
      <c r="AB29">
        <v>596</v>
      </c>
      <c r="AC29">
        <v>179</v>
      </c>
      <c r="AD29">
        <v>161</v>
      </c>
      <c r="AE29">
        <v>177</v>
      </c>
    </row>
    <row r="30" spans="3:31" x14ac:dyDescent="0.25">
      <c r="C30">
        <v>43</v>
      </c>
      <c r="D30">
        <v>0</v>
      </c>
      <c r="E30">
        <v>0</v>
      </c>
      <c r="F30">
        <v>441</v>
      </c>
      <c r="G30">
        <v>410</v>
      </c>
      <c r="H30">
        <v>434</v>
      </c>
      <c r="I30">
        <v>465</v>
      </c>
      <c r="J30">
        <v>437</v>
      </c>
      <c r="K30">
        <v>458</v>
      </c>
      <c r="L30">
        <v>424</v>
      </c>
      <c r="M30">
        <v>460</v>
      </c>
      <c r="N30">
        <v>451</v>
      </c>
      <c r="O30">
        <v>466</v>
      </c>
      <c r="P30">
        <v>453</v>
      </c>
      <c r="Q30">
        <v>464</v>
      </c>
      <c r="R30">
        <v>472</v>
      </c>
      <c r="S30">
        <v>477</v>
      </c>
      <c r="T30">
        <v>524</v>
      </c>
      <c r="U30">
        <v>557</v>
      </c>
      <c r="V30">
        <v>545</v>
      </c>
      <c r="W30">
        <v>600</v>
      </c>
      <c r="X30">
        <v>553</v>
      </c>
      <c r="Y30">
        <v>552</v>
      </c>
      <c r="Z30">
        <v>573</v>
      </c>
      <c r="AA30">
        <v>562</v>
      </c>
      <c r="AB30">
        <v>572</v>
      </c>
      <c r="AC30">
        <v>603</v>
      </c>
      <c r="AD30">
        <v>185</v>
      </c>
      <c r="AE30">
        <v>164</v>
      </c>
    </row>
    <row r="31" spans="3:31" x14ac:dyDescent="0.25">
      <c r="C31">
        <v>44</v>
      </c>
      <c r="D31">
        <v>0</v>
      </c>
      <c r="E31">
        <v>0</v>
      </c>
      <c r="F31">
        <v>400</v>
      </c>
      <c r="G31">
        <v>449</v>
      </c>
      <c r="H31">
        <v>418</v>
      </c>
      <c r="I31">
        <v>440</v>
      </c>
      <c r="J31">
        <v>470</v>
      </c>
      <c r="K31">
        <v>442</v>
      </c>
      <c r="L31">
        <v>467</v>
      </c>
      <c r="M31">
        <v>430</v>
      </c>
      <c r="N31">
        <v>466</v>
      </c>
      <c r="O31">
        <v>458</v>
      </c>
      <c r="P31">
        <v>472</v>
      </c>
      <c r="Q31">
        <v>456</v>
      </c>
      <c r="R31">
        <v>471</v>
      </c>
      <c r="S31">
        <v>475</v>
      </c>
      <c r="T31">
        <v>485</v>
      </c>
      <c r="U31">
        <v>528</v>
      </c>
      <c r="V31">
        <v>561</v>
      </c>
      <c r="W31">
        <v>545</v>
      </c>
      <c r="X31">
        <v>604</v>
      </c>
      <c r="Y31">
        <v>567</v>
      </c>
      <c r="Z31">
        <v>557</v>
      </c>
      <c r="AA31">
        <v>576</v>
      </c>
      <c r="AB31">
        <v>565</v>
      </c>
      <c r="AC31">
        <v>579</v>
      </c>
      <c r="AD31">
        <v>606</v>
      </c>
      <c r="AE31">
        <v>191</v>
      </c>
    </row>
    <row r="32" spans="3:31" x14ac:dyDescent="0.25">
      <c r="C32">
        <v>45</v>
      </c>
      <c r="D32">
        <v>0</v>
      </c>
      <c r="E32">
        <v>0</v>
      </c>
      <c r="F32">
        <v>443</v>
      </c>
      <c r="G32">
        <v>407</v>
      </c>
      <c r="H32">
        <v>462</v>
      </c>
      <c r="I32">
        <v>432</v>
      </c>
      <c r="J32">
        <v>448</v>
      </c>
      <c r="K32">
        <v>478</v>
      </c>
      <c r="L32">
        <v>451</v>
      </c>
      <c r="M32">
        <v>472</v>
      </c>
      <c r="N32">
        <v>436</v>
      </c>
      <c r="O32">
        <v>471</v>
      </c>
      <c r="P32">
        <v>464</v>
      </c>
      <c r="Q32">
        <v>480</v>
      </c>
      <c r="R32">
        <v>461</v>
      </c>
      <c r="S32">
        <v>478</v>
      </c>
      <c r="T32">
        <v>480</v>
      </c>
      <c r="U32">
        <v>496</v>
      </c>
      <c r="V32">
        <v>533</v>
      </c>
      <c r="W32">
        <v>569</v>
      </c>
      <c r="X32">
        <v>560</v>
      </c>
      <c r="Y32">
        <v>609</v>
      </c>
      <c r="Z32">
        <v>573</v>
      </c>
      <c r="AA32">
        <v>570</v>
      </c>
      <c r="AB32">
        <v>586</v>
      </c>
      <c r="AC32">
        <v>576</v>
      </c>
      <c r="AD32">
        <v>584</v>
      </c>
      <c r="AE32">
        <v>615</v>
      </c>
    </row>
    <row r="33" spans="3:31" x14ac:dyDescent="0.25">
      <c r="C33">
        <v>46</v>
      </c>
      <c r="D33">
        <v>0</v>
      </c>
      <c r="E33">
        <v>0</v>
      </c>
      <c r="F33">
        <v>458</v>
      </c>
      <c r="G33">
        <v>448</v>
      </c>
      <c r="H33">
        <v>411</v>
      </c>
      <c r="I33">
        <v>470</v>
      </c>
      <c r="J33">
        <v>441</v>
      </c>
      <c r="K33">
        <v>456</v>
      </c>
      <c r="L33">
        <v>485</v>
      </c>
      <c r="M33">
        <v>462</v>
      </c>
      <c r="N33">
        <v>479</v>
      </c>
      <c r="O33">
        <v>448</v>
      </c>
      <c r="P33">
        <v>475</v>
      </c>
      <c r="Q33">
        <v>471</v>
      </c>
      <c r="R33">
        <v>491</v>
      </c>
      <c r="S33">
        <v>466</v>
      </c>
      <c r="T33">
        <v>483</v>
      </c>
      <c r="U33">
        <v>486</v>
      </c>
      <c r="V33">
        <v>505</v>
      </c>
      <c r="W33">
        <v>541</v>
      </c>
      <c r="X33">
        <v>575</v>
      </c>
      <c r="Y33">
        <v>571</v>
      </c>
      <c r="Z33">
        <v>616</v>
      </c>
      <c r="AA33">
        <v>574</v>
      </c>
      <c r="AB33">
        <v>571</v>
      </c>
      <c r="AC33">
        <v>591</v>
      </c>
      <c r="AD33">
        <v>586</v>
      </c>
      <c r="AE33">
        <v>592</v>
      </c>
    </row>
    <row r="34" spans="3:31" x14ac:dyDescent="0.25">
      <c r="C34">
        <v>47</v>
      </c>
      <c r="D34">
        <v>0</v>
      </c>
      <c r="E34">
        <v>0</v>
      </c>
      <c r="F34">
        <v>435</v>
      </c>
      <c r="G34">
        <v>463</v>
      </c>
      <c r="H34">
        <v>454</v>
      </c>
      <c r="I34">
        <v>420</v>
      </c>
      <c r="J34">
        <v>478</v>
      </c>
      <c r="K34">
        <v>448</v>
      </c>
      <c r="L34">
        <v>466</v>
      </c>
      <c r="M34">
        <v>490</v>
      </c>
      <c r="N34">
        <v>468</v>
      </c>
      <c r="O34">
        <v>485</v>
      </c>
      <c r="P34">
        <v>458</v>
      </c>
      <c r="Q34">
        <v>483</v>
      </c>
      <c r="R34">
        <v>481</v>
      </c>
      <c r="S34">
        <v>499</v>
      </c>
      <c r="T34">
        <v>471</v>
      </c>
      <c r="U34">
        <v>492</v>
      </c>
      <c r="V34">
        <v>496</v>
      </c>
      <c r="W34">
        <v>509</v>
      </c>
      <c r="X34">
        <v>552</v>
      </c>
      <c r="Y34">
        <v>577</v>
      </c>
      <c r="Z34">
        <v>575</v>
      </c>
      <c r="AA34">
        <v>625</v>
      </c>
      <c r="AB34">
        <v>583</v>
      </c>
      <c r="AC34">
        <v>574</v>
      </c>
      <c r="AD34">
        <v>601</v>
      </c>
      <c r="AE34">
        <v>593</v>
      </c>
    </row>
    <row r="35" spans="3:31" x14ac:dyDescent="0.25">
      <c r="C35">
        <v>48</v>
      </c>
      <c r="D35">
        <v>0</v>
      </c>
      <c r="E35">
        <v>0</v>
      </c>
      <c r="F35">
        <v>440</v>
      </c>
      <c r="G35">
        <v>444</v>
      </c>
      <c r="H35">
        <v>473</v>
      </c>
      <c r="I35">
        <v>463</v>
      </c>
      <c r="J35">
        <v>428</v>
      </c>
      <c r="K35">
        <v>485</v>
      </c>
      <c r="L35">
        <v>456</v>
      </c>
      <c r="M35">
        <v>478</v>
      </c>
      <c r="N35">
        <v>496</v>
      </c>
      <c r="O35">
        <v>477</v>
      </c>
      <c r="P35">
        <v>493</v>
      </c>
      <c r="Q35">
        <v>464</v>
      </c>
      <c r="R35">
        <v>493</v>
      </c>
      <c r="S35">
        <v>496</v>
      </c>
      <c r="T35">
        <v>504</v>
      </c>
      <c r="U35">
        <v>484</v>
      </c>
      <c r="V35">
        <v>501</v>
      </c>
      <c r="W35">
        <v>507</v>
      </c>
      <c r="X35">
        <v>513</v>
      </c>
      <c r="Y35">
        <v>564</v>
      </c>
      <c r="Z35">
        <v>586</v>
      </c>
      <c r="AA35">
        <v>580</v>
      </c>
      <c r="AB35">
        <v>633</v>
      </c>
      <c r="AC35">
        <v>589</v>
      </c>
      <c r="AD35">
        <v>579</v>
      </c>
      <c r="AE35">
        <v>604</v>
      </c>
    </row>
    <row r="36" spans="3:31" x14ac:dyDescent="0.25">
      <c r="C36">
        <v>49</v>
      </c>
      <c r="D36">
        <v>0</v>
      </c>
      <c r="E36">
        <v>0</v>
      </c>
      <c r="F36">
        <v>445</v>
      </c>
      <c r="G36">
        <v>445</v>
      </c>
      <c r="H36">
        <v>450</v>
      </c>
      <c r="I36">
        <v>483</v>
      </c>
      <c r="J36">
        <v>477</v>
      </c>
      <c r="K36">
        <v>438</v>
      </c>
      <c r="L36">
        <v>493</v>
      </c>
      <c r="M36">
        <v>467</v>
      </c>
      <c r="N36">
        <v>481</v>
      </c>
      <c r="O36">
        <v>502</v>
      </c>
      <c r="P36">
        <v>480</v>
      </c>
      <c r="Q36">
        <v>499</v>
      </c>
      <c r="R36">
        <v>473</v>
      </c>
      <c r="S36">
        <v>498</v>
      </c>
      <c r="T36">
        <v>500</v>
      </c>
      <c r="U36">
        <v>506</v>
      </c>
      <c r="V36">
        <v>486</v>
      </c>
      <c r="W36">
        <v>509</v>
      </c>
      <c r="X36">
        <v>518</v>
      </c>
      <c r="Y36">
        <v>519</v>
      </c>
      <c r="Z36">
        <v>572</v>
      </c>
      <c r="AA36">
        <v>595</v>
      </c>
      <c r="AB36">
        <v>588</v>
      </c>
      <c r="AC36">
        <v>640</v>
      </c>
      <c r="AD36">
        <v>597</v>
      </c>
      <c r="AE36">
        <v>581</v>
      </c>
    </row>
    <row r="37" spans="3:31" x14ac:dyDescent="0.25">
      <c r="C37">
        <v>50</v>
      </c>
      <c r="D37">
        <v>0</v>
      </c>
      <c r="E37">
        <v>0</v>
      </c>
      <c r="F37">
        <v>438</v>
      </c>
      <c r="G37">
        <v>453</v>
      </c>
      <c r="H37">
        <v>453</v>
      </c>
      <c r="I37">
        <v>457</v>
      </c>
      <c r="J37">
        <v>486</v>
      </c>
      <c r="K37">
        <v>487</v>
      </c>
      <c r="L37">
        <v>444</v>
      </c>
      <c r="M37">
        <v>497</v>
      </c>
      <c r="N37">
        <v>477</v>
      </c>
      <c r="O37">
        <v>489</v>
      </c>
      <c r="P37">
        <v>505</v>
      </c>
      <c r="Q37">
        <v>488</v>
      </c>
      <c r="R37">
        <v>503</v>
      </c>
      <c r="S37">
        <v>479</v>
      </c>
      <c r="T37">
        <v>501</v>
      </c>
      <c r="U37">
        <v>505</v>
      </c>
      <c r="V37">
        <v>513</v>
      </c>
      <c r="W37">
        <v>489</v>
      </c>
      <c r="X37">
        <v>514</v>
      </c>
      <c r="Y37">
        <v>525</v>
      </c>
      <c r="Z37">
        <v>534</v>
      </c>
      <c r="AA37">
        <v>577</v>
      </c>
      <c r="AB37">
        <v>608</v>
      </c>
      <c r="AC37">
        <v>592</v>
      </c>
      <c r="AD37">
        <v>647</v>
      </c>
      <c r="AE37">
        <v>612</v>
      </c>
    </row>
    <row r="38" spans="3:31" x14ac:dyDescent="0.25">
      <c r="C38">
        <v>51</v>
      </c>
      <c r="D38">
        <v>0</v>
      </c>
      <c r="E38">
        <v>0</v>
      </c>
      <c r="F38">
        <v>434</v>
      </c>
      <c r="G38">
        <v>444</v>
      </c>
      <c r="H38">
        <v>456</v>
      </c>
      <c r="I38">
        <v>459</v>
      </c>
      <c r="J38">
        <v>464</v>
      </c>
      <c r="K38">
        <v>492</v>
      </c>
      <c r="L38">
        <v>498</v>
      </c>
      <c r="M38">
        <v>448</v>
      </c>
      <c r="N38">
        <v>505</v>
      </c>
      <c r="O38">
        <v>484</v>
      </c>
      <c r="P38">
        <v>498</v>
      </c>
      <c r="Q38">
        <v>511</v>
      </c>
      <c r="R38">
        <v>496</v>
      </c>
      <c r="S38">
        <v>509</v>
      </c>
      <c r="T38">
        <v>490</v>
      </c>
      <c r="U38">
        <v>509</v>
      </c>
      <c r="V38">
        <v>512</v>
      </c>
      <c r="W38">
        <v>520</v>
      </c>
      <c r="X38">
        <v>503</v>
      </c>
      <c r="Y38">
        <v>521</v>
      </c>
      <c r="Z38">
        <v>532</v>
      </c>
      <c r="AA38">
        <v>541</v>
      </c>
      <c r="AB38">
        <v>582</v>
      </c>
      <c r="AC38">
        <v>614</v>
      </c>
      <c r="AD38">
        <v>605</v>
      </c>
      <c r="AE38">
        <v>649</v>
      </c>
    </row>
    <row r="39" spans="3:31" x14ac:dyDescent="0.25">
      <c r="C39">
        <v>52</v>
      </c>
      <c r="D39">
        <v>0</v>
      </c>
      <c r="E39">
        <v>0</v>
      </c>
      <c r="F39">
        <v>452</v>
      </c>
      <c r="G39">
        <v>445</v>
      </c>
      <c r="H39">
        <v>450</v>
      </c>
      <c r="I39">
        <v>467</v>
      </c>
      <c r="J39">
        <v>468</v>
      </c>
      <c r="K39">
        <v>472</v>
      </c>
      <c r="L39">
        <v>493</v>
      </c>
      <c r="M39">
        <v>509</v>
      </c>
      <c r="N39">
        <v>457</v>
      </c>
      <c r="O39">
        <v>519</v>
      </c>
      <c r="P39">
        <v>489</v>
      </c>
      <c r="Q39">
        <v>506</v>
      </c>
      <c r="R39">
        <v>513</v>
      </c>
      <c r="S39">
        <v>501</v>
      </c>
      <c r="T39">
        <v>517</v>
      </c>
      <c r="U39">
        <v>494</v>
      </c>
      <c r="V39">
        <v>516</v>
      </c>
      <c r="W39">
        <v>515</v>
      </c>
      <c r="X39">
        <v>526</v>
      </c>
      <c r="Y39">
        <v>506</v>
      </c>
      <c r="Z39">
        <v>529</v>
      </c>
      <c r="AA39">
        <v>538</v>
      </c>
      <c r="AB39">
        <v>543</v>
      </c>
      <c r="AC39">
        <v>588</v>
      </c>
      <c r="AD39">
        <v>620</v>
      </c>
      <c r="AE39">
        <v>608</v>
      </c>
    </row>
    <row r="40" spans="3:31" x14ac:dyDescent="0.25">
      <c r="C40">
        <v>53</v>
      </c>
      <c r="D40">
        <v>0</v>
      </c>
      <c r="E40">
        <v>0</v>
      </c>
      <c r="F40">
        <v>429</v>
      </c>
      <c r="G40">
        <v>458</v>
      </c>
      <c r="H40">
        <v>449</v>
      </c>
      <c r="I40">
        <v>454</v>
      </c>
      <c r="J40">
        <v>478</v>
      </c>
      <c r="K40">
        <v>471</v>
      </c>
      <c r="L40">
        <v>476</v>
      </c>
      <c r="M40">
        <v>496</v>
      </c>
      <c r="N40">
        <v>518</v>
      </c>
      <c r="O40">
        <v>466</v>
      </c>
      <c r="P40">
        <v>521</v>
      </c>
      <c r="Q40">
        <v>498</v>
      </c>
      <c r="R40">
        <v>508</v>
      </c>
      <c r="S40">
        <v>516</v>
      </c>
      <c r="T40">
        <v>505</v>
      </c>
      <c r="U40">
        <v>527</v>
      </c>
      <c r="V40">
        <v>502</v>
      </c>
      <c r="W40">
        <v>527</v>
      </c>
      <c r="X40">
        <v>521</v>
      </c>
      <c r="Y40">
        <v>533</v>
      </c>
      <c r="Z40">
        <v>513</v>
      </c>
      <c r="AA40">
        <v>529</v>
      </c>
      <c r="AB40">
        <v>543</v>
      </c>
      <c r="AC40">
        <v>551</v>
      </c>
      <c r="AD40">
        <v>598</v>
      </c>
      <c r="AE40">
        <v>628</v>
      </c>
    </row>
    <row r="41" spans="3:31" x14ac:dyDescent="0.25">
      <c r="C41">
        <v>54</v>
      </c>
      <c r="D41">
        <v>0</v>
      </c>
      <c r="E41">
        <v>0</v>
      </c>
      <c r="F41">
        <v>406</v>
      </c>
      <c r="G41">
        <v>431</v>
      </c>
      <c r="H41">
        <v>459</v>
      </c>
      <c r="I41">
        <v>458</v>
      </c>
      <c r="J41">
        <v>464</v>
      </c>
      <c r="K41">
        <v>492</v>
      </c>
      <c r="L41">
        <v>482</v>
      </c>
      <c r="M41">
        <v>484</v>
      </c>
      <c r="N41">
        <v>500</v>
      </c>
      <c r="O41">
        <v>527</v>
      </c>
      <c r="P41">
        <v>470</v>
      </c>
      <c r="Q41">
        <v>532</v>
      </c>
      <c r="R41">
        <v>506</v>
      </c>
      <c r="S41">
        <v>519</v>
      </c>
      <c r="T41">
        <v>531</v>
      </c>
      <c r="U41">
        <v>509</v>
      </c>
      <c r="V41">
        <v>530</v>
      </c>
      <c r="W41">
        <v>509</v>
      </c>
      <c r="X41">
        <v>530</v>
      </c>
      <c r="Y41">
        <v>525</v>
      </c>
      <c r="Z41">
        <v>545</v>
      </c>
      <c r="AA41">
        <v>520</v>
      </c>
      <c r="AB41">
        <v>533</v>
      </c>
      <c r="AC41">
        <v>554</v>
      </c>
      <c r="AD41">
        <v>552</v>
      </c>
      <c r="AE41">
        <v>601</v>
      </c>
    </row>
    <row r="42" spans="3:31" x14ac:dyDescent="0.25">
      <c r="C42">
        <v>55</v>
      </c>
      <c r="D42">
        <v>0</v>
      </c>
      <c r="E42">
        <v>0</v>
      </c>
      <c r="F42">
        <v>411</v>
      </c>
      <c r="G42">
        <v>412</v>
      </c>
      <c r="H42">
        <v>440</v>
      </c>
      <c r="I42">
        <v>465</v>
      </c>
      <c r="J42">
        <v>467</v>
      </c>
      <c r="K42">
        <v>470</v>
      </c>
      <c r="L42">
        <v>495</v>
      </c>
      <c r="M42">
        <v>488</v>
      </c>
      <c r="N42">
        <v>488</v>
      </c>
      <c r="O42">
        <v>505</v>
      </c>
      <c r="P42">
        <v>536</v>
      </c>
      <c r="Q42">
        <v>479</v>
      </c>
      <c r="R42">
        <v>539</v>
      </c>
      <c r="S42">
        <v>506</v>
      </c>
      <c r="T42">
        <v>524</v>
      </c>
      <c r="U42">
        <v>530</v>
      </c>
      <c r="V42">
        <v>514</v>
      </c>
      <c r="W42">
        <v>539</v>
      </c>
      <c r="X42">
        <v>514</v>
      </c>
      <c r="Y42">
        <v>539</v>
      </c>
      <c r="Z42">
        <v>528</v>
      </c>
      <c r="AA42">
        <v>553</v>
      </c>
      <c r="AB42">
        <v>527</v>
      </c>
      <c r="AC42">
        <v>541</v>
      </c>
      <c r="AD42">
        <v>559</v>
      </c>
      <c r="AE42">
        <v>559</v>
      </c>
    </row>
    <row r="43" spans="3:31" x14ac:dyDescent="0.25">
      <c r="C43">
        <v>56</v>
      </c>
      <c r="D43">
        <v>0</v>
      </c>
      <c r="E43">
        <v>0</v>
      </c>
      <c r="F43">
        <v>382</v>
      </c>
      <c r="G43">
        <v>419</v>
      </c>
      <c r="H43">
        <v>418</v>
      </c>
      <c r="I43">
        <v>441</v>
      </c>
      <c r="J43">
        <v>469</v>
      </c>
      <c r="K43">
        <v>469</v>
      </c>
      <c r="L43">
        <v>477</v>
      </c>
      <c r="M43">
        <v>499</v>
      </c>
      <c r="N43">
        <v>492</v>
      </c>
      <c r="O43">
        <v>493</v>
      </c>
      <c r="P43">
        <v>511</v>
      </c>
      <c r="Q43">
        <v>538</v>
      </c>
      <c r="R43">
        <v>480</v>
      </c>
      <c r="S43">
        <v>548</v>
      </c>
      <c r="T43">
        <v>510</v>
      </c>
      <c r="U43">
        <v>523</v>
      </c>
      <c r="V43">
        <v>534</v>
      </c>
      <c r="W43">
        <v>517</v>
      </c>
      <c r="X43">
        <v>541</v>
      </c>
      <c r="Y43">
        <v>513</v>
      </c>
      <c r="Z43">
        <v>538</v>
      </c>
      <c r="AA43">
        <v>539</v>
      </c>
      <c r="AB43">
        <v>557</v>
      </c>
      <c r="AC43">
        <v>528</v>
      </c>
      <c r="AD43">
        <v>542</v>
      </c>
      <c r="AE43">
        <v>558</v>
      </c>
    </row>
    <row r="44" spans="3:31" x14ac:dyDescent="0.25">
      <c r="C44">
        <v>57</v>
      </c>
      <c r="D44">
        <v>0</v>
      </c>
      <c r="E44">
        <v>0</v>
      </c>
      <c r="F44">
        <v>396</v>
      </c>
      <c r="G44">
        <v>389</v>
      </c>
      <c r="H44">
        <v>423</v>
      </c>
      <c r="I44">
        <v>426</v>
      </c>
      <c r="J44">
        <v>444</v>
      </c>
      <c r="K44">
        <v>478</v>
      </c>
      <c r="L44">
        <v>472</v>
      </c>
      <c r="M44">
        <v>481</v>
      </c>
      <c r="N44">
        <v>504</v>
      </c>
      <c r="O44">
        <v>498</v>
      </c>
      <c r="P44">
        <v>500</v>
      </c>
      <c r="Q44">
        <v>510</v>
      </c>
      <c r="R44">
        <v>538</v>
      </c>
      <c r="S44">
        <v>484</v>
      </c>
      <c r="T44">
        <v>550</v>
      </c>
      <c r="U44">
        <v>517</v>
      </c>
      <c r="V44">
        <v>528</v>
      </c>
      <c r="W44">
        <v>542</v>
      </c>
      <c r="X44">
        <v>519</v>
      </c>
      <c r="Y44">
        <v>547</v>
      </c>
      <c r="Z44">
        <v>516</v>
      </c>
      <c r="AA44">
        <v>542</v>
      </c>
      <c r="AB44">
        <v>543</v>
      </c>
      <c r="AC44">
        <v>559</v>
      </c>
      <c r="AD44">
        <v>535</v>
      </c>
      <c r="AE44">
        <v>548</v>
      </c>
    </row>
    <row r="45" spans="3:31" x14ac:dyDescent="0.25">
      <c r="C45">
        <v>58</v>
      </c>
      <c r="D45">
        <v>0</v>
      </c>
      <c r="E45">
        <v>0</v>
      </c>
      <c r="F45">
        <v>417</v>
      </c>
      <c r="G45">
        <v>400</v>
      </c>
      <c r="H45">
        <v>390</v>
      </c>
      <c r="I45">
        <v>431</v>
      </c>
      <c r="J45">
        <v>433</v>
      </c>
      <c r="K45">
        <v>453</v>
      </c>
      <c r="L45">
        <v>481</v>
      </c>
      <c r="M45">
        <v>479</v>
      </c>
      <c r="N45">
        <v>482</v>
      </c>
      <c r="O45">
        <v>511</v>
      </c>
      <c r="P45">
        <v>498</v>
      </c>
      <c r="Q45">
        <v>501</v>
      </c>
      <c r="R45">
        <v>514</v>
      </c>
      <c r="S45">
        <v>538</v>
      </c>
      <c r="T45">
        <v>491</v>
      </c>
      <c r="U45">
        <v>558</v>
      </c>
      <c r="V45">
        <v>526</v>
      </c>
      <c r="W45">
        <v>530</v>
      </c>
      <c r="X45">
        <v>545</v>
      </c>
      <c r="Y45">
        <v>525</v>
      </c>
      <c r="Z45">
        <v>552</v>
      </c>
      <c r="AA45">
        <v>519</v>
      </c>
      <c r="AB45">
        <v>547</v>
      </c>
      <c r="AC45">
        <v>551</v>
      </c>
      <c r="AD45">
        <v>563</v>
      </c>
      <c r="AE45">
        <v>542</v>
      </c>
    </row>
    <row r="46" spans="3:31" x14ac:dyDescent="0.25">
      <c r="C46">
        <v>59</v>
      </c>
      <c r="D46">
        <v>0</v>
      </c>
      <c r="E46">
        <v>0</v>
      </c>
      <c r="F46">
        <v>434</v>
      </c>
      <c r="G46">
        <v>426</v>
      </c>
      <c r="H46">
        <v>402</v>
      </c>
      <c r="I46">
        <v>400</v>
      </c>
      <c r="J46">
        <v>433</v>
      </c>
      <c r="K46">
        <v>443</v>
      </c>
      <c r="L46">
        <v>455</v>
      </c>
      <c r="M46">
        <v>481</v>
      </c>
      <c r="N46">
        <v>482</v>
      </c>
      <c r="O46">
        <v>487</v>
      </c>
      <c r="P46">
        <v>515</v>
      </c>
      <c r="Q46">
        <v>503</v>
      </c>
      <c r="R46">
        <v>506</v>
      </c>
      <c r="S46">
        <v>519</v>
      </c>
      <c r="T46">
        <v>543</v>
      </c>
      <c r="U46">
        <v>491</v>
      </c>
      <c r="V46">
        <v>563</v>
      </c>
      <c r="W46">
        <v>527</v>
      </c>
      <c r="X46">
        <v>531</v>
      </c>
      <c r="Y46">
        <v>549</v>
      </c>
      <c r="Z46">
        <v>532</v>
      </c>
      <c r="AA46">
        <v>562</v>
      </c>
      <c r="AB46">
        <v>517</v>
      </c>
      <c r="AC46">
        <v>547</v>
      </c>
      <c r="AD46">
        <v>559</v>
      </c>
      <c r="AE46">
        <v>571</v>
      </c>
    </row>
    <row r="47" spans="3:31" x14ac:dyDescent="0.25">
      <c r="C47">
        <v>60</v>
      </c>
      <c r="D47">
        <v>0</v>
      </c>
      <c r="E47">
        <v>0</v>
      </c>
      <c r="F47">
        <v>341</v>
      </c>
      <c r="G47">
        <v>437</v>
      </c>
      <c r="H47">
        <v>430</v>
      </c>
      <c r="I47">
        <v>405</v>
      </c>
      <c r="J47">
        <v>405</v>
      </c>
      <c r="K47">
        <v>436</v>
      </c>
      <c r="L47">
        <v>448</v>
      </c>
      <c r="M47">
        <v>456</v>
      </c>
      <c r="N47">
        <v>486</v>
      </c>
      <c r="O47">
        <v>482</v>
      </c>
      <c r="P47">
        <v>487</v>
      </c>
      <c r="Q47">
        <v>518</v>
      </c>
      <c r="R47">
        <v>507</v>
      </c>
      <c r="S47">
        <v>505</v>
      </c>
      <c r="T47">
        <v>518</v>
      </c>
      <c r="U47">
        <v>548</v>
      </c>
      <c r="V47">
        <v>500</v>
      </c>
      <c r="W47">
        <v>562</v>
      </c>
      <c r="X47">
        <v>534</v>
      </c>
      <c r="Y47">
        <v>538</v>
      </c>
      <c r="Z47">
        <v>550</v>
      </c>
      <c r="AA47">
        <v>534</v>
      </c>
      <c r="AB47">
        <v>558</v>
      </c>
      <c r="AC47">
        <v>520</v>
      </c>
      <c r="AD47">
        <v>545</v>
      </c>
      <c r="AE47">
        <v>564</v>
      </c>
    </row>
    <row r="48" spans="3:31" x14ac:dyDescent="0.25">
      <c r="C48">
        <v>61</v>
      </c>
      <c r="D48">
        <v>0</v>
      </c>
      <c r="E48">
        <v>0</v>
      </c>
      <c r="F48">
        <v>337</v>
      </c>
      <c r="G48">
        <v>342</v>
      </c>
      <c r="H48">
        <v>445</v>
      </c>
      <c r="I48">
        <v>429</v>
      </c>
      <c r="J48">
        <v>412</v>
      </c>
      <c r="K48">
        <v>407</v>
      </c>
      <c r="L48">
        <v>440</v>
      </c>
      <c r="M48">
        <v>446</v>
      </c>
      <c r="N48">
        <v>456</v>
      </c>
      <c r="O48">
        <v>490</v>
      </c>
      <c r="P48">
        <v>486</v>
      </c>
      <c r="Q48">
        <v>487</v>
      </c>
      <c r="R48">
        <v>521</v>
      </c>
      <c r="S48">
        <v>504</v>
      </c>
      <c r="T48">
        <v>508</v>
      </c>
      <c r="U48">
        <v>521</v>
      </c>
      <c r="V48">
        <v>551</v>
      </c>
      <c r="W48">
        <v>500</v>
      </c>
      <c r="X48">
        <v>568</v>
      </c>
      <c r="Y48">
        <v>539</v>
      </c>
      <c r="Z48">
        <v>538</v>
      </c>
      <c r="AA48">
        <v>553</v>
      </c>
      <c r="AB48">
        <v>534</v>
      </c>
      <c r="AC48">
        <v>561</v>
      </c>
      <c r="AD48">
        <v>526</v>
      </c>
      <c r="AE48">
        <v>550</v>
      </c>
    </row>
    <row r="49" spans="3:31" x14ac:dyDescent="0.25">
      <c r="C49">
        <v>62</v>
      </c>
      <c r="D49">
        <v>0</v>
      </c>
      <c r="E49">
        <v>0</v>
      </c>
      <c r="F49">
        <v>342</v>
      </c>
      <c r="G49">
        <v>338</v>
      </c>
      <c r="H49">
        <v>348</v>
      </c>
      <c r="I49">
        <v>449</v>
      </c>
      <c r="J49">
        <v>433</v>
      </c>
      <c r="K49">
        <v>414</v>
      </c>
      <c r="L49">
        <v>415</v>
      </c>
      <c r="M49">
        <v>445</v>
      </c>
      <c r="N49">
        <v>447</v>
      </c>
      <c r="O49">
        <v>460</v>
      </c>
      <c r="P49">
        <v>490</v>
      </c>
      <c r="Q49">
        <v>486</v>
      </c>
      <c r="R49">
        <v>490</v>
      </c>
      <c r="S49">
        <v>524</v>
      </c>
      <c r="T49">
        <v>513</v>
      </c>
      <c r="U49">
        <v>509</v>
      </c>
      <c r="V49">
        <v>526</v>
      </c>
      <c r="W49">
        <v>550</v>
      </c>
      <c r="X49">
        <v>503</v>
      </c>
      <c r="Y49">
        <v>569</v>
      </c>
      <c r="Z49">
        <v>539</v>
      </c>
      <c r="AA49">
        <v>542</v>
      </c>
      <c r="AB49">
        <v>554</v>
      </c>
      <c r="AC49">
        <v>536</v>
      </c>
      <c r="AD49">
        <v>563</v>
      </c>
      <c r="AE49">
        <v>531</v>
      </c>
    </row>
    <row r="50" spans="3:31" x14ac:dyDescent="0.25">
      <c r="C50">
        <v>63</v>
      </c>
      <c r="D50">
        <v>0</v>
      </c>
      <c r="E50">
        <v>0</v>
      </c>
      <c r="F50">
        <v>326</v>
      </c>
      <c r="G50">
        <v>347</v>
      </c>
      <c r="H50">
        <v>343</v>
      </c>
      <c r="I50">
        <v>349</v>
      </c>
      <c r="J50">
        <v>450</v>
      </c>
      <c r="K50">
        <v>438</v>
      </c>
      <c r="L50">
        <v>418</v>
      </c>
      <c r="M50">
        <v>422</v>
      </c>
      <c r="N50">
        <v>451</v>
      </c>
      <c r="O50">
        <v>449</v>
      </c>
      <c r="P50">
        <v>462</v>
      </c>
      <c r="Q50">
        <v>498</v>
      </c>
      <c r="R50">
        <v>491</v>
      </c>
      <c r="S50">
        <v>492</v>
      </c>
      <c r="T50">
        <v>527</v>
      </c>
      <c r="U50">
        <v>520</v>
      </c>
      <c r="V50">
        <v>513</v>
      </c>
      <c r="W50">
        <v>530</v>
      </c>
      <c r="X50">
        <v>552</v>
      </c>
      <c r="Y50">
        <v>506</v>
      </c>
      <c r="Z50">
        <v>572</v>
      </c>
      <c r="AA50">
        <v>541</v>
      </c>
      <c r="AB50">
        <v>541</v>
      </c>
      <c r="AC50">
        <v>562</v>
      </c>
      <c r="AD50">
        <v>542</v>
      </c>
      <c r="AE50">
        <v>571</v>
      </c>
    </row>
    <row r="51" spans="3:31" x14ac:dyDescent="0.25">
      <c r="C51">
        <v>64</v>
      </c>
      <c r="D51">
        <v>0</v>
      </c>
      <c r="E51">
        <v>0</v>
      </c>
      <c r="F51">
        <v>325</v>
      </c>
      <c r="G51">
        <v>326</v>
      </c>
      <c r="H51">
        <v>351</v>
      </c>
      <c r="I51">
        <v>344</v>
      </c>
      <c r="J51">
        <v>354</v>
      </c>
      <c r="K51">
        <v>458</v>
      </c>
      <c r="L51">
        <v>441</v>
      </c>
      <c r="M51">
        <v>421</v>
      </c>
      <c r="N51">
        <v>426</v>
      </c>
      <c r="O51">
        <v>452</v>
      </c>
      <c r="P51">
        <v>450</v>
      </c>
      <c r="Q51">
        <v>462</v>
      </c>
      <c r="R51">
        <v>501</v>
      </c>
      <c r="S51">
        <v>496</v>
      </c>
      <c r="T51">
        <v>494</v>
      </c>
      <c r="U51">
        <v>529</v>
      </c>
      <c r="V51">
        <v>527</v>
      </c>
      <c r="W51">
        <v>519</v>
      </c>
      <c r="X51">
        <v>528</v>
      </c>
      <c r="Y51">
        <v>549</v>
      </c>
      <c r="Z51">
        <v>506</v>
      </c>
      <c r="AA51">
        <v>574</v>
      </c>
      <c r="AB51">
        <v>544</v>
      </c>
      <c r="AC51">
        <v>545</v>
      </c>
      <c r="AD51">
        <v>564</v>
      </c>
      <c r="AE51">
        <v>545</v>
      </c>
    </row>
    <row r="52" spans="3:31" x14ac:dyDescent="0.25">
      <c r="C52">
        <v>65</v>
      </c>
      <c r="D52">
        <v>0</v>
      </c>
      <c r="E52">
        <v>0</v>
      </c>
      <c r="F52">
        <v>236</v>
      </c>
      <c r="G52">
        <v>329</v>
      </c>
      <c r="H52">
        <v>332</v>
      </c>
      <c r="I52">
        <v>354</v>
      </c>
      <c r="J52">
        <v>346</v>
      </c>
      <c r="K52">
        <v>355</v>
      </c>
      <c r="L52">
        <v>462</v>
      </c>
      <c r="M52">
        <v>442</v>
      </c>
      <c r="N52">
        <v>418</v>
      </c>
      <c r="O52">
        <v>425</v>
      </c>
      <c r="P52">
        <v>451</v>
      </c>
      <c r="Q52">
        <v>453</v>
      </c>
      <c r="R52">
        <v>464</v>
      </c>
      <c r="S52">
        <v>496</v>
      </c>
      <c r="T52">
        <v>496</v>
      </c>
      <c r="U52">
        <v>497</v>
      </c>
      <c r="V52">
        <v>529</v>
      </c>
      <c r="W52">
        <v>526</v>
      </c>
      <c r="X52">
        <v>519</v>
      </c>
      <c r="Y52">
        <v>530</v>
      </c>
      <c r="Z52">
        <v>549</v>
      </c>
      <c r="AA52">
        <v>509</v>
      </c>
      <c r="AB52">
        <v>577</v>
      </c>
      <c r="AC52">
        <v>548</v>
      </c>
      <c r="AD52">
        <v>546</v>
      </c>
      <c r="AE52">
        <v>564</v>
      </c>
    </row>
    <row r="53" spans="3:31" x14ac:dyDescent="0.25">
      <c r="C53">
        <v>66</v>
      </c>
      <c r="D53">
        <v>0</v>
      </c>
      <c r="E53">
        <v>0</v>
      </c>
      <c r="F53">
        <v>259</v>
      </c>
      <c r="G53">
        <v>240</v>
      </c>
      <c r="H53">
        <v>332</v>
      </c>
      <c r="I53">
        <v>335</v>
      </c>
      <c r="J53">
        <v>353</v>
      </c>
      <c r="K53">
        <v>346</v>
      </c>
      <c r="L53">
        <v>360</v>
      </c>
      <c r="M53">
        <v>466</v>
      </c>
      <c r="N53">
        <v>443</v>
      </c>
      <c r="O53">
        <v>419</v>
      </c>
      <c r="P53">
        <v>425</v>
      </c>
      <c r="Q53">
        <v>448</v>
      </c>
      <c r="R53">
        <v>456</v>
      </c>
      <c r="S53">
        <v>469</v>
      </c>
      <c r="T53">
        <v>498</v>
      </c>
      <c r="U53">
        <v>498</v>
      </c>
      <c r="V53">
        <v>499</v>
      </c>
      <c r="W53">
        <v>529</v>
      </c>
      <c r="X53">
        <v>523</v>
      </c>
      <c r="Y53">
        <v>514</v>
      </c>
      <c r="Z53">
        <v>532</v>
      </c>
      <c r="AA53">
        <v>547</v>
      </c>
      <c r="AB53">
        <v>504</v>
      </c>
      <c r="AC53">
        <v>575</v>
      </c>
      <c r="AD53">
        <v>548</v>
      </c>
      <c r="AE53">
        <v>549</v>
      </c>
    </row>
    <row r="54" spans="3:31" x14ac:dyDescent="0.25">
      <c r="C54">
        <v>67</v>
      </c>
      <c r="D54">
        <v>0</v>
      </c>
      <c r="E54">
        <v>0</v>
      </c>
      <c r="F54">
        <v>239</v>
      </c>
      <c r="G54">
        <v>265</v>
      </c>
      <c r="H54">
        <v>243</v>
      </c>
      <c r="I54">
        <v>330</v>
      </c>
      <c r="J54">
        <v>334</v>
      </c>
      <c r="K54">
        <v>354</v>
      </c>
      <c r="L54">
        <v>347</v>
      </c>
      <c r="M54">
        <v>356</v>
      </c>
      <c r="N54">
        <v>470</v>
      </c>
      <c r="O54">
        <v>439</v>
      </c>
      <c r="P54">
        <v>421</v>
      </c>
      <c r="Q54">
        <v>428</v>
      </c>
      <c r="R54">
        <v>443</v>
      </c>
      <c r="S54">
        <v>460</v>
      </c>
      <c r="T54">
        <v>467</v>
      </c>
      <c r="U54">
        <v>501</v>
      </c>
      <c r="V54">
        <v>495</v>
      </c>
      <c r="W54">
        <v>500</v>
      </c>
      <c r="X54">
        <v>529</v>
      </c>
      <c r="Y54">
        <v>527</v>
      </c>
      <c r="Z54">
        <v>521</v>
      </c>
      <c r="AA54">
        <v>535</v>
      </c>
      <c r="AB54">
        <v>544</v>
      </c>
      <c r="AC54">
        <v>506</v>
      </c>
      <c r="AD54">
        <v>577</v>
      </c>
      <c r="AE54">
        <v>542</v>
      </c>
    </row>
    <row r="55" spans="3:31" x14ac:dyDescent="0.25">
      <c r="C55">
        <v>68</v>
      </c>
      <c r="D55">
        <v>0</v>
      </c>
      <c r="E55">
        <v>0</v>
      </c>
      <c r="F55">
        <v>224</v>
      </c>
      <c r="G55">
        <v>240</v>
      </c>
      <c r="H55">
        <v>266</v>
      </c>
      <c r="I55">
        <v>245</v>
      </c>
      <c r="J55">
        <v>334</v>
      </c>
      <c r="K55">
        <v>331</v>
      </c>
      <c r="L55">
        <v>357</v>
      </c>
      <c r="M55">
        <v>346</v>
      </c>
      <c r="N55">
        <v>355</v>
      </c>
      <c r="O55">
        <v>470</v>
      </c>
      <c r="P55">
        <v>438</v>
      </c>
      <c r="Q55">
        <v>418</v>
      </c>
      <c r="R55">
        <v>427</v>
      </c>
      <c r="S55">
        <v>447</v>
      </c>
      <c r="T55">
        <v>461</v>
      </c>
      <c r="U55">
        <v>469</v>
      </c>
      <c r="V55">
        <v>498</v>
      </c>
      <c r="W55">
        <v>494</v>
      </c>
      <c r="X55">
        <v>499</v>
      </c>
      <c r="Y55">
        <v>529</v>
      </c>
      <c r="Z55">
        <v>527</v>
      </c>
      <c r="AA55">
        <v>521</v>
      </c>
      <c r="AB55">
        <v>542</v>
      </c>
      <c r="AC55">
        <v>549</v>
      </c>
      <c r="AD55">
        <v>505</v>
      </c>
      <c r="AE55">
        <v>576</v>
      </c>
    </row>
    <row r="56" spans="3:31" x14ac:dyDescent="0.25">
      <c r="C56">
        <v>69</v>
      </c>
      <c r="D56">
        <v>0</v>
      </c>
      <c r="E56">
        <v>0</v>
      </c>
      <c r="F56">
        <v>257</v>
      </c>
      <c r="G56">
        <v>227</v>
      </c>
      <c r="H56">
        <v>243</v>
      </c>
      <c r="I56">
        <v>272</v>
      </c>
      <c r="J56">
        <v>244</v>
      </c>
      <c r="K56">
        <v>337</v>
      </c>
      <c r="L56">
        <v>331</v>
      </c>
      <c r="M56">
        <v>359</v>
      </c>
      <c r="N56">
        <v>349</v>
      </c>
      <c r="O56">
        <v>353</v>
      </c>
      <c r="P56">
        <v>472</v>
      </c>
      <c r="Q56">
        <v>438</v>
      </c>
      <c r="R56">
        <v>419</v>
      </c>
      <c r="S56">
        <v>426</v>
      </c>
      <c r="T56">
        <v>448</v>
      </c>
      <c r="U56">
        <v>466</v>
      </c>
      <c r="V56">
        <v>475</v>
      </c>
      <c r="W56">
        <v>502</v>
      </c>
      <c r="X56">
        <v>493</v>
      </c>
      <c r="Y56">
        <v>497</v>
      </c>
      <c r="Z56">
        <v>531</v>
      </c>
      <c r="AA56">
        <v>527</v>
      </c>
      <c r="AB56">
        <v>523</v>
      </c>
      <c r="AC56">
        <v>541</v>
      </c>
      <c r="AD56">
        <v>551</v>
      </c>
      <c r="AE56">
        <v>508</v>
      </c>
    </row>
    <row r="57" spans="3:31" x14ac:dyDescent="0.25">
      <c r="C57">
        <v>70</v>
      </c>
      <c r="D57">
        <v>0</v>
      </c>
      <c r="E57">
        <v>0</v>
      </c>
      <c r="F57">
        <v>180</v>
      </c>
      <c r="G57">
        <v>257</v>
      </c>
      <c r="H57">
        <v>227</v>
      </c>
      <c r="I57">
        <v>247</v>
      </c>
      <c r="J57">
        <v>274</v>
      </c>
      <c r="K57">
        <v>244</v>
      </c>
      <c r="L57">
        <v>338</v>
      </c>
      <c r="M57">
        <v>337</v>
      </c>
      <c r="N57">
        <v>362</v>
      </c>
      <c r="O57">
        <v>350</v>
      </c>
      <c r="P57">
        <v>353</v>
      </c>
      <c r="Q57">
        <v>474</v>
      </c>
      <c r="R57">
        <v>439</v>
      </c>
      <c r="S57">
        <v>418</v>
      </c>
      <c r="T57">
        <v>429</v>
      </c>
      <c r="U57">
        <v>454</v>
      </c>
      <c r="V57">
        <v>462</v>
      </c>
      <c r="W57">
        <v>473</v>
      </c>
      <c r="X57">
        <v>505</v>
      </c>
      <c r="Y57">
        <v>494</v>
      </c>
      <c r="Z57">
        <v>498</v>
      </c>
      <c r="AA57">
        <v>528</v>
      </c>
      <c r="AB57">
        <v>520</v>
      </c>
      <c r="AC57">
        <v>521</v>
      </c>
      <c r="AD57">
        <v>538</v>
      </c>
      <c r="AE57">
        <v>550</v>
      </c>
    </row>
    <row r="58" spans="3:31" x14ac:dyDescent="0.25">
      <c r="C58">
        <v>71</v>
      </c>
      <c r="D58">
        <v>0</v>
      </c>
      <c r="E58">
        <v>0</v>
      </c>
      <c r="F58">
        <v>192</v>
      </c>
      <c r="G58">
        <v>185</v>
      </c>
      <c r="H58">
        <v>258</v>
      </c>
      <c r="I58">
        <v>230</v>
      </c>
      <c r="J58">
        <v>251</v>
      </c>
      <c r="K58">
        <v>276</v>
      </c>
      <c r="L58">
        <v>245</v>
      </c>
      <c r="M58">
        <v>337</v>
      </c>
      <c r="N58">
        <v>331</v>
      </c>
      <c r="O58">
        <v>364</v>
      </c>
      <c r="P58">
        <v>352</v>
      </c>
      <c r="Q58">
        <v>349</v>
      </c>
      <c r="R58">
        <v>474</v>
      </c>
      <c r="S58">
        <v>439</v>
      </c>
      <c r="T58">
        <v>411</v>
      </c>
      <c r="U58">
        <v>426</v>
      </c>
      <c r="V58">
        <v>452</v>
      </c>
      <c r="W58">
        <v>465</v>
      </c>
      <c r="X58">
        <v>476</v>
      </c>
      <c r="Y58">
        <v>506</v>
      </c>
      <c r="Z58">
        <v>490</v>
      </c>
      <c r="AA58">
        <v>496</v>
      </c>
      <c r="AB58">
        <v>524</v>
      </c>
      <c r="AC58">
        <v>510</v>
      </c>
      <c r="AD58">
        <v>509</v>
      </c>
      <c r="AE58">
        <v>533</v>
      </c>
    </row>
    <row r="59" spans="3:31" x14ac:dyDescent="0.25">
      <c r="C59">
        <v>72</v>
      </c>
      <c r="D59">
        <v>0</v>
      </c>
      <c r="E59">
        <v>0</v>
      </c>
      <c r="F59">
        <v>208</v>
      </c>
      <c r="G59">
        <v>194</v>
      </c>
      <c r="H59">
        <v>188</v>
      </c>
      <c r="I59">
        <v>260</v>
      </c>
      <c r="J59">
        <v>234</v>
      </c>
      <c r="K59">
        <v>250</v>
      </c>
      <c r="L59">
        <v>275</v>
      </c>
      <c r="M59">
        <v>242</v>
      </c>
      <c r="N59">
        <v>338</v>
      </c>
      <c r="O59">
        <v>330</v>
      </c>
      <c r="P59">
        <v>364</v>
      </c>
      <c r="Q59">
        <v>350</v>
      </c>
      <c r="R59">
        <v>348</v>
      </c>
      <c r="S59">
        <v>470</v>
      </c>
      <c r="T59">
        <v>441</v>
      </c>
      <c r="U59">
        <v>408</v>
      </c>
      <c r="V59">
        <v>425</v>
      </c>
      <c r="W59">
        <v>455</v>
      </c>
      <c r="X59">
        <v>462</v>
      </c>
      <c r="Y59">
        <v>476</v>
      </c>
      <c r="Z59">
        <v>509</v>
      </c>
      <c r="AA59">
        <v>490</v>
      </c>
      <c r="AB59">
        <v>498</v>
      </c>
      <c r="AC59">
        <v>524</v>
      </c>
      <c r="AD59">
        <v>508</v>
      </c>
      <c r="AE59">
        <v>498</v>
      </c>
    </row>
    <row r="60" spans="3:31" x14ac:dyDescent="0.25">
      <c r="C60">
        <v>73</v>
      </c>
      <c r="D60">
        <v>0</v>
      </c>
      <c r="E60">
        <v>0</v>
      </c>
      <c r="F60">
        <v>193</v>
      </c>
      <c r="G60">
        <v>209</v>
      </c>
      <c r="H60">
        <v>194</v>
      </c>
      <c r="I60">
        <v>189</v>
      </c>
      <c r="J60">
        <v>264</v>
      </c>
      <c r="K60">
        <v>233</v>
      </c>
      <c r="L60">
        <v>252</v>
      </c>
      <c r="M60">
        <v>277</v>
      </c>
      <c r="N60">
        <v>241</v>
      </c>
      <c r="O60">
        <v>337</v>
      </c>
      <c r="P60">
        <v>330</v>
      </c>
      <c r="Q60">
        <v>364</v>
      </c>
      <c r="R60">
        <v>352</v>
      </c>
      <c r="S60">
        <v>350</v>
      </c>
      <c r="T60">
        <v>469</v>
      </c>
      <c r="U60">
        <v>444</v>
      </c>
      <c r="V60">
        <v>406</v>
      </c>
      <c r="W60">
        <v>426</v>
      </c>
      <c r="X60">
        <v>453</v>
      </c>
      <c r="Y60">
        <v>463</v>
      </c>
      <c r="Z60">
        <v>474</v>
      </c>
      <c r="AA60">
        <v>503</v>
      </c>
      <c r="AB60">
        <v>487</v>
      </c>
      <c r="AC60">
        <v>494</v>
      </c>
      <c r="AD60">
        <v>522</v>
      </c>
      <c r="AE60">
        <v>510</v>
      </c>
    </row>
    <row r="61" spans="3:31" x14ac:dyDescent="0.25">
      <c r="C61">
        <v>74</v>
      </c>
      <c r="D61">
        <v>0</v>
      </c>
      <c r="E61">
        <v>0</v>
      </c>
      <c r="F61">
        <v>190</v>
      </c>
      <c r="G61">
        <v>195</v>
      </c>
      <c r="H61">
        <v>210</v>
      </c>
      <c r="I61">
        <v>194</v>
      </c>
      <c r="J61">
        <v>193</v>
      </c>
      <c r="K61">
        <v>264</v>
      </c>
      <c r="L61">
        <v>236</v>
      </c>
      <c r="M61">
        <v>259</v>
      </c>
      <c r="N61">
        <v>281</v>
      </c>
      <c r="O61">
        <v>242</v>
      </c>
      <c r="P61">
        <v>339</v>
      </c>
      <c r="Q61">
        <v>327</v>
      </c>
      <c r="R61">
        <v>366</v>
      </c>
      <c r="S61">
        <v>352</v>
      </c>
      <c r="T61">
        <v>349</v>
      </c>
      <c r="U61">
        <v>469</v>
      </c>
      <c r="V61">
        <v>446</v>
      </c>
      <c r="W61">
        <v>404</v>
      </c>
      <c r="X61">
        <v>428</v>
      </c>
      <c r="Y61">
        <v>454</v>
      </c>
      <c r="Z61">
        <v>455</v>
      </c>
      <c r="AA61">
        <v>472</v>
      </c>
      <c r="AB61">
        <v>501</v>
      </c>
      <c r="AC61">
        <v>487</v>
      </c>
      <c r="AD61">
        <v>491</v>
      </c>
      <c r="AE61">
        <v>519</v>
      </c>
    </row>
    <row r="62" spans="3:31" x14ac:dyDescent="0.25">
      <c r="C62">
        <v>75</v>
      </c>
      <c r="D62">
        <v>0</v>
      </c>
      <c r="E62">
        <v>0</v>
      </c>
      <c r="F62">
        <v>133</v>
      </c>
      <c r="G62">
        <v>194</v>
      </c>
      <c r="H62">
        <v>198</v>
      </c>
      <c r="I62">
        <v>210</v>
      </c>
      <c r="J62">
        <v>196</v>
      </c>
      <c r="K62">
        <v>196</v>
      </c>
      <c r="L62">
        <v>263</v>
      </c>
      <c r="M62">
        <v>237</v>
      </c>
      <c r="N62">
        <v>260</v>
      </c>
      <c r="O62">
        <v>279</v>
      </c>
      <c r="P62">
        <v>242</v>
      </c>
      <c r="Q62">
        <v>340</v>
      </c>
      <c r="R62">
        <v>325</v>
      </c>
      <c r="S62">
        <v>364</v>
      </c>
      <c r="T62">
        <v>351</v>
      </c>
      <c r="U62">
        <v>349</v>
      </c>
      <c r="V62">
        <v>466</v>
      </c>
      <c r="W62">
        <v>443</v>
      </c>
      <c r="X62">
        <v>398</v>
      </c>
      <c r="Y62">
        <v>424</v>
      </c>
      <c r="Z62">
        <v>449</v>
      </c>
      <c r="AA62">
        <v>451</v>
      </c>
      <c r="AB62">
        <v>467</v>
      </c>
      <c r="AC62">
        <v>496</v>
      </c>
      <c r="AD62">
        <v>491</v>
      </c>
      <c r="AE62">
        <v>485</v>
      </c>
    </row>
    <row r="63" spans="3:31" x14ac:dyDescent="0.25">
      <c r="C63">
        <v>76</v>
      </c>
      <c r="D63">
        <v>0</v>
      </c>
      <c r="E63">
        <v>0</v>
      </c>
      <c r="F63">
        <v>150</v>
      </c>
      <c r="G63">
        <v>134</v>
      </c>
      <c r="H63">
        <v>193</v>
      </c>
      <c r="I63">
        <v>199</v>
      </c>
      <c r="J63">
        <v>208</v>
      </c>
      <c r="K63">
        <v>195</v>
      </c>
      <c r="L63">
        <v>192</v>
      </c>
      <c r="M63">
        <v>261</v>
      </c>
      <c r="N63">
        <v>236</v>
      </c>
      <c r="O63">
        <v>254</v>
      </c>
      <c r="P63">
        <v>276</v>
      </c>
      <c r="Q63">
        <v>245</v>
      </c>
      <c r="R63">
        <v>340</v>
      </c>
      <c r="S63">
        <v>324</v>
      </c>
      <c r="T63">
        <v>360</v>
      </c>
      <c r="U63">
        <v>349</v>
      </c>
      <c r="V63">
        <v>346</v>
      </c>
      <c r="W63">
        <v>462</v>
      </c>
      <c r="X63">
        <v>433</v>
      </c>
      <c r="Y63">
        <v>390</v>
      </c>
      <c r="Z63">
        <v>417</v>
      </c>
      <c r="AA63">
        <v>444</v>
      </c>
      <c r="AB63">
        <v>443</v>
      </c>
      <c r="AC63">
        <v>459</v>
      </c>
      <c r="AD63">
        <v>483</v>
      </c>
      <c r="AE63">
        <v>485</v>
      </c>
    </row>
    <row r="64" spans="3:31" x14ac:dyDescent="0.25">
      <c r="C64">
        <v>77</v>
      </c>
      <c r="D64">
        <v>0</v>
      </c>
      <c r="E64">
        <v>0</v>
      </c>
      <c r="F64">
        <v>150</v>
      </c>
      <c r="G64">
        <v>150</v>
      </c>
      <c r="H64">
        <v>136</v>
      </c>
      <c r="I64">
        <v>191</v>
      </c>
      <c r="J64">
        <v>195</v>
      </c>
      <c r="K64">
        <v>209</v>
      </c>
      <c r="L64">
        <v>195</v>
      </c>
      <c r="M64">
        <v>188</v>
      </c>
      <c r="N64">
        <v>262</v>
      </c>
      <c r="O64">
        <v>233</v>
      </c>
      <c r="P64">
        <v>250</v>
      </c>
      <c r="Q64">
        <v>270</v>
      </c>
      <c r="R64">
        <v>244</v>
      </c>
      <c r="S64">
        <v>334</v>
      </c>
      <c r="T64">
        <v>322</v>
      </c>
      <c r="U64">
        <v>360</v>
      </c>
      <c r="V64">
        <v>346</v>
      </c>
      <c r="W64">
        <v>343</v>
      </c>
      <c r="X64">
        <v>461</v>
      </c>
      <c r="Y64">
        <v>425</v>
      </c>
      <c r="Z64">
        <v>389</v>
      </c>
      <c r="AA64">
        <v>415</v>
      </c>
      <c r="AB64">
        <v>436</v>
      </c>
      <c r="AC64">
        <v>436</v>
      </c>
      <c r="AD64">
        <v>451</v>
      </c>
      <c r="AE64">
        <v>478</v>
      </c>
    </row>
    <row r="65" spans="3:31" x14ac:dyDescent="0.25">
      <c r="C65">
        <v>78</v>
      </c>
      <c r="D65">
        <v>0</v>
      </c>
      <c r="E65">
        <v>0</v>
      </c>
      <c r="F65">
        <v>132</v>
      </c>
      <c r="G65">
        <v>154</v>
      </c>
      <c r="H65">
        <v>153</v>
      </c>
      <c r="I65">
        <v>140</v>
      </c>
      <c r="J65">
        <v>191</v>
      </c>
      <c r="K65">
        <v>194</v>
      </c>
      <c r="L65">
        <v>203</v>
      </c>
      <c r="M65">
        <v>195</v>
      </c>
      <c r="N65">
        <v>191</v>
      </c>
      <c r="O65">
        <v>262</v>
      </c>
      <c r="P65">
        <v>233</v>
      </c>
      <c r="Q65">
        <v>249</v>
      </c>
      <c r="R65">
        <v>267</v>
      </c>
      <c r="S65">
        <v>247</v>
      </c>
      <c r="T65">
        <v>333</v>
      </c>
      <c r="U65">
        <v>323</v>
      </c>
      <c r="V65">
        <v>356</v>
      </c>
      <c r="W65">
        <v>342</v>
      </c>
      <c r="X65">
        <v>343</v>
      </c>
      <c r="Y65">
        <v>460</v>
      </c>
      <c r="Z65">
        <v>418</v>
      </c>
      <c r="AA65">
        <v>380</v>
      </c>
      <c r="AB65">
        <v>400</v>
      </c>
      <c r="AC65">
        <v>432</v>
      </c>
      <c r="AD65">
        <v>428</v>
      </c>
      <c r="AE65">
        <v>442</v>
      </c>
    </row>
    <row r="66" spans="3:31" x14ac:dyDescent="0.25">
      <c r="C66">
        <v>79</v>
      </c>
      <c r="D66">
        <v>0</v>
      </c>
      <c r="E66">
        <v>0</v>
      </c>
      <c r="F66">
        <v>119</v>
      </c>
      <c r="G66">
        <v>137</v>
      </c>
      <c r="H66">
        <v>155</v>
      </c>
      <c r="I66">
        <v>154</v>
      </c>
      <c r="J66">
        <v>139</v>
      </c>
      <c r="K66">
        <v>191</v>
      </c>
      <c r="L66">
        <v>192</v>
      </c>
      <c r="M66">
        <v>199</v>
      </c>
      <c r="N66">
        <v>195</v>
      </c>
      <c r="O66">
        <v>193</v>
      </c>
      <c r="P66">
        <v>258</v>
      </c>
      <c r="Q66">
        <v>234</v>
      </c>
      <c r="R66">
        <v>249</v>
      </c>
      <c r="S66">
        <v>268</v>
      </c>
      <c r="T66">
        <v>243</v>
      </c>
      <c r="U66">
        <v>330</v>
      </c>
      <c r="V66">
        <v>319</v>
      </c>
      <c r="W66">
        <v>353</v>
      </c>
      <c r="X66">
        <v>337</v>
      </c>
      <c r="Y66">
        <v>345</v>
      </c>
      <c r="Z66">
        <v>455</v>
      </c>
      <c r="AA66">
        <v>417</v>
      </c>
      <c r="AB66">
        <v>373</v>
      </c>
      <c r="AC66">
        <v>397</v>
      </c>
      <c r="AD66">
        <v>432</v>
      </c>
      <c r="AE66">
        <v>422</v>
      </c>
    </row>
    <row r="67" spans="3:31" x14ac:dyDescent="0.25">
      <c r="C67">
        <v>80</v>
      </c>
      <c r="D67">
        <v>0</v>
      </c>
      <c r="E67">
        <v>0</v>
      </c>
      <c r="F67">
        <v>112</v>
      </c>
      <c r="G67">
        <v>119</v>
      </c>
      <c r="H67">
        <v>136</v>
      </c>
      <c r="I67">
        <v>155</v>
      </c>
      <c r="J67">
        <v>151</v>
      </c>
      <c r="K67">
        <v>137</v>
      </c>
      <c r="L67">
        <v>191</v>
      </c>
      <c r="M67">
        <v>191</v>
      </c>
      <c r="N67">
        <v>195</v>
      </c>
      <c r="O67">
        <v>190</v>
      </c>
      <c r="P67">
        <v>192</v>
      </c>
      <c r="Q67">
        <v>260</v>
      </c>
      <c r="R67">
        <v>234</v>
      </c>
      <c r="S67">
        <v>247</v>
      </c>
      <c r="T67">
        <v>264</v>
      </c>
      <c r="U67">
        <v>244</v>
      </c>
      <c r="V67">
        <v>325</v>
      </c>
      <c r="W67">
        <v>318</v>
      </c>
      <c r="X67">
        <v>353</v>
      </c>
      <c r="Y67">
        <v>335</v>
      </c>
      <c r="Z67">
        <v>344</v>
      </c>
      <c r="AA67">
        <v>446</v>
      </c>
      <c r="AB67">
        <v>412</v>
      </c>
      <c r="AC67">
        <v>368</v>
      </c>
      <c r="AD67">
        <v>396</v>
      </c>
      <c r="AE67">
        <v>427</v>
      </c>
    </row>
    <row r="68" spans="3:31" x14ac:dyDescent="0.25">
      <c r="C68">
        <v>81</v>
      </c>
      <c r="D68">
        <v>0</v>
      </c>
      <c r="E68">
        <v>0</v>
      </c>
      <c r="F68">
        <v>112</v>
      </c>
      <c r="G68">
        <v>116</v>
      </c>
      <c r="H68">
        <v>119</v>
      </c>
      <c r="I68">
        <v>138</v>
      </c>
      <c r="J68">
        <v>154</v>
      </c>
      <c r="K68">
        <v>148</v>
      </c>
      <c r="L68">
        <v>136</v>
      </c>
      <c r="M68">
        <v>190</v>
      </c>
      <c r="N68">
        <v>191</v>
      </c>
      <c r="O68">
        <v>193</v>
      </c>
      <c r="P68">
        <v>187</v>
      </c>
      <c r="Q68">
        <v>189</v>
      </c>
      <c r="R68">
        <v>257</v>
      </c>
      <c r="S68">
        <v>233</v>
      </c>
      <c r="T68">
        <v>246</v>
      </c>
      <c r="U68">
        <v>260</v>
      </c>
      <c r="V68">
        <v>245</v>
      </c>
      <c r="W68">
        <v>316</v>
      </c>
      <c r="X68">
        <v>317</v>
      </c>
      <c r="Y68">
        <v>345</v>
      </c>
      <c r="Z68">
        <v>330</v>
      </c>
      <c r="AA68">
        <v>335</v>
      </c>
      <c r="AB68">
        <v>438</v>
      </c>
      <c r="AC68">
        <v>410</v>
      </c>
      <c r="AD68">
        <v>361</v>
      </c>
      <c r="AE68">
        <v>390</v>
      </c>
    </row>
    <row r="69" spans="3:31" x14ac:dyDescent="0.25">
      <c r="C69">
        <v>82</v>
      </c>
      <c r="D69">
        <v>0</v>
      </c>
      <c r="E69">
        <v>0</v>
      </c>
      <c r="F69">
        <v>120</v>
      </c>
      <c r="G69">
        <v>110</v>
      </c>
      <c r="H69">
        <v>116</v>
      </c>
      <c r="I69">
        <v>120</v>
      </c>
      <c r="J69">
        <v>136</v>
      </c>
      <c r="K69">
        <v>151</v>
      </c>
      <c r="L69">
        <v>148</v>
      </c>
      <c r="M69">
        <v>134</v>
      </c>
      <c r="N69">
        <v>186</v>
      </c>
      <c r="O69">
        <v>190</v>
      </c>
      <c r="P69">
        <v>195</v>
      </c>
      <c r="Q69">
        <v>189</v>
      </c>
      <c r="R69">
        <v>187</v>
      </c>
      <c r="S69">
        <v>252</v>
      </c>
      <c r="T69">
        <v>231</v>
      </c>
      <c r="U69">
        <v>243</v>
      </c>
      <c r="V69">
        <v>260</v>
      </c>
      <c r="W69">
        <v>243</v>
      </c>
      <c r="X69">
        <v>310</v>
      </c>
      <c r="Y69">
        <v>311</v>
      </c>
      <c r="Z69">
        <v>342</v>
      </c>
      <c r="AA69">
        <v>331</v>
      </c>
      <c r="AB69">
        <v>330</v>
      </c>
      <c r="AC69">
        <v>436</v>
      </c>
      <c r="AD69">
        <v>406</v>
      </c>
      <c r="AE69">
        <v>355</v>
      </c>
    </row>
    <row r="70" spans="3:31" x14ac:dyDescent="0.25">
      <c r="C70">
        <v>83</v>
      </c>
      <c r="D70">
        <v>0</v>
      </c>
      <c r="E70">
        <v>0</v>
      </c>
      <c r="F70">
        <v>92</v>
      </c>
      <c r="G70">
        <v>113</v>
      </c>
      <c r="H70">
        <v>109</v>
      </c>
      <c r="I70">
        <v>113</v>
      </c>
      <c r="J70">
        <v>119</v>
      </c>
      <c r="K70">
        <v>133</v>
      </c>
      <c r="L70">
        <v>151</v>
      </c>
      <c r="M70">
        <v>145</v>
      </c>
      <c r="N70">
        <v>130</v>
      </c>
      <c r="O70">
        <v>179</v>
      </c>
      <c r="P70">
        <v>186</v>
      </c>
      <c r="Q70">
        <v>196</v>
      </c>
      <c r="R70">
        <v>186</v>
      </c>
      <c r="S70">
        <v>184</v>
      </c>
      <c r="T70">
        <v>248</v>
      </c>
      <c r="U70">
        <v>228</v>
      </c>
      <c r="V70">
        <v>241</v>
      </c>
      <c r="W70">
        <v>255</v>
      </c>
      <c r="X70">
        <v>241</v>
      </c>
      <c r="Y70">
        <v>310</v>
      </c>
      <c r="Z70">
        <v>310</v>
      </c>
      <c r="AA70">
        <v>332</v>
      </c>
      <c r="AB70">
        <v>326</v>
      </c>
      <c r="AC70">
        <v>319</v>
      </c>
      <c r="AD70">
        <v>429</v>
      </c>
      <c r="AE70">
        <v>398</v>
      </c>
    </row>
    <row r="71" spans="3:31" x14ac:dyDescent="0.25">
      <c r="C71">
        <v>84</v>
      </c>
      <c r="D71">
        <v>0</v>
      </c>
      <c r="E71">
        <v>0</v>
      </c>
      <c r="F71">
        <v>130</v>
      </c>
      <c r="G71">
        <v>92</v>
      </c>
      <c r="H71">
        <v>114</v>
      </c>
      <c r="I71">
        <v>109</v>
      </c>
      <c r="J71">
        <v>113</v>
      </c>
      <c r="K71">
        <v>120</v>
      </c>
      <c r="L71">
        <v>130</v>
      </c>
      <c r="M71">
        <v>148</v>
      </c>
      <c r="N71">
        <v>144</v>
      </c>
      <c r="O71">
        <v>124</v>
      </c>
      <c r="P71">
        <v>173</v>
      </c>
      <c r="Q71">
        <v>184</v>
      </c>
      <c r="R71">
        <v>195</v>
      </c>
      <c r="S71">
        <v>184</v>
      </c>
      <c r="T71">
        <v>183</v>
      </c>
      <c r="U71">
        <v>239</v>
      </c>
      <c r="V71">
        <v>222</v>
      </c>
      <c r="W71">
        <v>236</v>
      </c>
      <c r="X71">
        <v>254</v>
      </c>
      <c r="Y71">
        <v>239</v>
      </c>
      <c r="Z71">
        <v>309</v>
      </c>
      <c r="AA71">
        <v>305</v>
      </c>
      <c r="AB71">
        <v>323</v>
      </c>
      <c r="AC71">
        <v>324</v>
      </c>
      <c r="AD71">
        <v>311</v>
      </c>
      <c r="AE71">
        <v>427</v>
      </c>
    </row>
    <row r="72" spans="3:31" x14ac:dyDescent="0.25">
      <c r="C72">
        <v>85</v>
      </c>
      <c r="D72">
        <v>0</v>
      </c>
      <c r="E72">
        <v>0</v>
      </c>
      <c r="F72">
        <v>516</v>
      </c>
      <c r="G72">
        <v>138</v>
      </c>
      <c r="H72">
        <v>104</v>
      </c>
      <c r="I72">
        <v>122</v>
      </c>
      <c r="J72">
        <v>115</v>
      </c>
      <c r="K72">
        <v>123</v>
      </c>
      <c r="L72">
        <v>121</v>
      </c>
      <c r="M72">
        <v>132</v>
      </c>
      <c r="N72">
        <v>153</v>
      </c>
      <c r="O72">
        <v>153</v>
      </c>
      <c r="P72">
        <v>132</v>
      </c>
      <c r="Q72">
        <v>184</v>
      </c>
      <c r="R72">
        <v>188</v>
      </c>
      <c r="S72">
        <v>202</v>
      </c>
      <c r="T72">
        <v>192</v>
      </c>
      <c r="U72">
        <v>187</v>
      </c>
      <c r="V72">
        <v>245</v>
      </c>
      <c r="W72">
        <v>227</v>
      </c>
      <c r="X72">
        <v>240</v>
      </c>
      <c r="Y72">
        <v>259</v>
      </c>
      <c r="Z72">
        <v>244</v>
      </c>
      <c r="AA72">
        <v>315</v>
      </c>
      <c r="AB72">
        <v>307</v>
      </c>
      <c r="AC72">
        <v>323</v>
      </c>
      <c r="AD72">
        <v>329</v>
      </c>
      <c r="AE72">
        <v>322</v>
      </c>
    </row>
    <row r="73" spans="3:31" x14ac:dyDescent="0.25">
      <c r="C73">
        <v>86</v>
      </c>
      <c r="D73">
        <v>0</v>
      </c>
      <c r="E73">
        <v>0</v>
      </c>
      <c r="F73">
        <v>0</v>
      </c>
      <c r="G73">
        <v>485</v>
      </c>
      <c r="H73">
        <v>131</v>
      </c>
      <c r="I73">
        <v>101</v>
      </c>
      <c r="J73">
        <v>118</v>
      </c>
      <c r="K73">
        <v>109</v>
      </c>
      <c r="L73">
        <v>117</v>
      </c>
      <c r="M73">
        <v>115</v>
      </c>
      <c r="N73">
        <v>127</v>
      </c>
      <c r="O73">
        <v>146</v>
      </c>
      <c r="P73">
        <v>144</v>
      </c>
      <c r="Q73">
        <v>127</v>
      </c>
      <c r="R73">
        <v>180</v>
      </c>
      <c r="S73">
        <v>184</v>
      </c>
      <c r="T73">
        <v>195</v>
      </c>
      <c r="U73">
        <v>184</v>
      </c>
      <c r="V73">
        <v>181</v>
      </c>
      <c r="W73">
        <v>237</v>
      </c>
      <c r="X73">
        <v>218</v>
      </c>
      <c r="Y73">
        <v>226</v>
      </c>
      <c r="Z73">
        <v>247</v>
      </c>
      <c r="AA73">
        <v>235</v>
      </c>
      <c r="AB73">
        <v>298</v>
      </c>
      <c r="AC73">
        <v>299</v>
      </c>
      <c r="AD73">
        <v>309</v>
      </c>
      <c r="AE73">
        <v>315</v>
      </c>
    </row>
    <row r="74" spans="3:31" x14ac:dyDescent="0.25">
      <c r="C74">
        <v>87</v>
      </c>
      <c r="D74">
        <v>0</v>
      </c>
      <c r="E74">
        <v>0</v>
      </c>
      <c r="F74">
        <v>0</v>
      </c>
      <c r="G74">
        <v>0</v>
      </c>
      <c r="H74">
        <v>459</v>
      </c>
      <c r="I74">
        <v>123</v>
      </c>
      <c r="J74">
        <v>97</v>
      </c>
      <c r="K74">
        <v>110</v>
      </c>
      <c r="L74">
        <v>102</v>
      </c>
      <c r="M74">
        <v>115</v>
      </c>
      <c r="N74">
        <v>111</v>
      </c>
      <c r="O74">
        <v>122</v>
      </c>
      <c r="P74">
        <v>144</v>
      </c>
      <c r="Q74">
        <v>132</v>
      </c>
      <c r="R74">
        <v>118</v>
      </c>
      <c r="S74">
        <v>169</v>
      </c>
      <c r="T74">
        <v>172</v>
      </c>
      <c r="U74">
        <v>186</v>
      </c>
      <c r="V74">
        <v>180</v>
      </c>
      <c r="W74">
        <v>169</v>
      </c>
      <c r="X74">
        <v>229</v>
      </c>
      <c r="Y74">
        <v>207</v>
      </c>
      <c r="Z74">
        <v>218</v>
      </c>
      <c r="AA74">
        <v>235</v>
      </c>
      <c r="AB74">
        <v>219</v>
      </c>
      <c r="AC74">
        <v>287</v>
      </c>
      <c r="AD74">
        <v>291</v>
      </c>
      <c r="AE74">
        <v>294</v>
      </c>
    </row>
    <row r="75" spans="3:31" x14ac:dyDescent="0.25">
      <c r="C75">
        <v>88</v>
      </c>
      <c r="D75">
        <v>0</v>
      </c>
      <c r="E75">
        <v>0</v>
      </c>
      <c r="F75">
        <v>0</v>
      </c>
      <c r="G75">
        <v>0</v>
      </c>
      <c r="H75">
        <v>0</v>
      </c>
      <c r="I75">
        <v>429</v>
      </c>
      <c r="J75">
        <v>116</v>
      </c>
      <c r="K75">
        <v>92</v>
      </c>
      <c r="L75">
        <v>107</v>
      </c>
      <c r="M75">
        <v>97</v>
      </c>
      <c r="N75">
        <v>109</v>
      </c>
      <c r="O75">
        <v>104</v>
      </c>
      <c r="P75">
        <v>119</v>
      </c>
      <c r="Q75">
        <v>139</v>
      </c>
      <c r="R75">
        <v>127</v>
      </c>
      <c r="S75">
        <v>112</v>
      </c>
      <c r="T75">
        <v>161</v>
      </c>
      <c r="U75">
        <v>168</v>
      </c>
      <c r="V75">
        <v>177</v>
      </c>
      <c r="W75">
        <v>169</v>
      </c>
      <c r="X75">
        <v>161</v>
      </c>
      <c r="Y75">
        <v>217</v>
      </c>
      <c r="Z75">
        <v>200</v>
      </c>
      <c r="AA75">
        <v>206</v>
      </c>
      <c r="AB75">
        <v>227</v>
      </c>
      <c r="AC75">
        <v>214</v>
      </c>
      <c r="AD75">
        <v>277</v>
      </c>
      <c r="AE75">
        <v>280</v>
      </c>
    </row>
    <row r="76" spans="3:31" x14ac:dyDescent="0.25">
      <c r="C76">
        <v>89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405</v>
      </c>
      <c r="K76">
        <v>113</v>
      </c>
      <c r="L76">
        <v>86</v>
      </c>
      <c r="M76">
        <v>105</v>
      </c>
      <c r="N76">
        <v>93</v>
      </c>
      <c r="O76">
        <v>104</v>
      </c>
      <c r="P76">
        <v>100</v>
      </c>
      <c r="Q76">
        <v>116</v>
      </c>
      <c r="R76">
        <v>133</v>
      </c>
      <c r="S76">
        <v>124</v>
      </c>
      <c r="T76">
        <v>106</v>
      </c>
      <c r="U76">
        <v>150</v>
      </c>
      <c r="V76">
        <v>158</v>
      </c>
      <c r="W76">
        <v>168</v>
      </c>
      <c r="X76">
        <v>165</v>
      </c>
      <c r="Y76">
        <v>157</v>
      </c>
      <c r="Z76">
        <v>208</v>
      </c>
      <c r="AA76">
        <v>191</v>
      </c>
      <c r="AB76">
        <v>196</v>
      </c>
      <c r="AC76">
        <v>222</v>
      </c>
      <c r="AD76">
        <v>205</v>
      </c>
      <c r="AE76">
        <v>267</v>
      </c>
    </row>
    <row r="77" spans="3:31" x14ac:dyDescent="0.25">
      <c r="C77">
        <v>90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393</v>
      </c>
      <c r="L77">
        <v>109</v>
      </c>
      <c r="M77">
        <v>83</v>
      </c>
      <c r="N77">
        <v>96</v>
      </c>
      <c r="O77">
        <v>92</v>
      </c>
      <c r="P77">
        <v>102</v>
      </c>
      <c r="Q77">
        <v>98</v>
      </c>
      <c r="R77">
        <v>113</v>
      </c>
      <c r="S77">
        <v>125</v>
      </c>
      <c r="T77">
        <v>122</v>
      </c>
      <c r="U77">
        <v>105</v>
      </c>
      <c r="V77">
        <v>144</v>
      </c>
      <c r="W77">
        <v>155</v>
      </c>
      <c r="X77">
        <v>161</v>
      </c>
      <c r="Y77">
        <v>161</v>
      </c>
      <c r="Z77">
        <v>147</v>
      </c>
      <c r="AA77">
        <v>195</v>
      </c>
      <c r="AB77">
        <v>181</v>
      </c>
      <c r="AC77">
        <v>193</v>
      </c>
      <c r="AD77">
        <v>216</v>
      </c>
      <c r="AE77">
        <v>203</v>
      </c>
    </row>
    <row r="78" spans="3:31" x14ac:dyDescent="0.25">
      <c r="C78">
        <v>91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370</v>
      </c>
      <c r="M78">
        <v>102</v>
      </c>
      <c r="N78">
        <v>75</v>
      </c>
      <c r="O78">
        <v>94</v>
      </c>
      <c r="P78">
        <v>89</v>
      </c>
      <c r="Q78">
        <v>100</v>
      </c>
      <c r="R78">
        <v>93</v>
      </c>
      <c r="S78">
        <v>110</v>
      </c>
      <c r="T78">
        <v>119</v>
      </c>
      <c r="U78">
        <v>119</v>
      </c>
      <c r="V78">
        <v>100</v>
      </c>
      <c r="W78">
        <v>139</v>
      </c>
      <c r="X78">
        <v>150</v>
      </c>
      <c r="Y78">
        <v>157</v>
      </c>
      <c r="Z78">
        <v>155</v>
      </c>
      <c r="AA78">
        <v>145</v>
      </c>
      <c r="AB78">
        <v>190</v>
      </c>
      <c r="AC78">
        <v>176</v>
      </c>
      <c r="AD78">
        <v>187</v>
      </c>
      <c r="AE78">
        <v>211</v>
      </c>
    </row>
    <row r="79" spans="3:31" x14ac:dyDescent="0.25">
      <c r="C79">
        <v>92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356</v>
      </c>
      <c r="N79">
        <v>96</v>
      </c>
      <c r="O79">
        <v>73</v>
      </c>
      <c r="P79">
        <v>88</v>
      </c>
      <c r="Q79">
        <v>88</v>
      </c>
      <c r="R79">
        <v>98</v>
      </c>
      <c r="S79">
        <v>91</v>
      </c>
      <c r="T79">
        <v>109</v>
      </c>
      <c r="U79">
        <v>113</v>
      </c>
      <c r="V79">
        <v>113</v>
      </c>
      <c r="W79">
        <v>95</v>
      </c>
      <c r="X79">
        <v>135</v>
      </c>
      <c r="Y79">
        <v>144</v>
      </c>
      <c r="Z79">
        <v>155</v>
      </c>
      <c r="AA79">
        <v>153</v>
      </c>
      <c r="AB79">
        <v>139</v>
      </c>
      <c r="AC79">
        <v>186</v>
      </c>
      <c r="AD79">
        <v>169</v>
      </c>
      <c r="AE79">
        <v>184</v>
      </c>
    </row>
    <row r="80" spans="3:31" x14ac:dyDescent="0.25">
      <c r="C80">
        <v>93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340</v>
      </c>
      <c r="O80">
        <v>89</v>
      </c>
      <c r="P80">
        <v>71</v>
      </c>
      <c r="Q80">
        <v>83</v>
      </c>
      <c r="R80">
        <v>79</v>
      </c>
      <c r="S80">
        <v>96</v>
      </c>
      <c r="T80">
        <v>87</v>
      </c>
      <c r="U80">
        <v>105</v>
      </c>
      <c r="V80">
        <v>108</v>
      </c>
      <c r="W80">
        <v>108</v>
      </c>
      <c r="X80">
        <v>90</v>
      </c>
      <c r="Y80">
        <v>131</v>
      </c>
      <c r="Z80">
        <v>137</v>
      </c>
      <c r="AA80">
        <v>151</v>
      </c>
      <c r="AB80">
        <v>151</v>
      </c>
      <c r="AC80">
        <v>133</v>
      </c>
      <c r="AD80">
        <v>183</v>
      </c>
      <c r="AE80">
        <v>162</v>
      </c>
    </row>
    <row r="81" spans="3:31" x14ac:dyDescent="0.25">
      <c r="C81">
        <v>94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324</v>
      </c>
      <c r="P81">
        <v>87</v>
      </c>
      <c r="Q81">
        <v>69</v>
      </c>
      <c r="R81">
        <v>78</v>
      </c>
      <c r="S81">
        <v>72</v>
      </c>
      <c r="T81">
        <v>93</v>
      </c>
      <c r="U81">
        <v>85</v>
      </c>
      <c r="V81">
        <v>103</v>
      </c>
      <c r="W81">
        <v>106</v>
      </c>
      <c r="X81">
        <v>101</v>
      </c>
      <c r="Y81">
        <v>85</v>
      </c>
      <c r="Z81">
        <v>129</v>
      </c>
      <c r="AA81">
        <v>135</v>
      </c>
      <c r="AB81">
        <v>147</v>
      </c>
      <c r="AC81">
        <v>145</v>
      </c>
      <c r="AD81">
        <v>127</v>
      </c>
      <c r="AE81">
        <v>177</v>
      </c>
    </row>
    <row r="82" spans="3:31" x14ac:dyDescent="0.25">
      <c r="C82">
        <v>95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314</v>
      </c>
      <c r="Q82">
        <v>84</v>
      </c>
      <c r="R82">
        <v>67</v>
      </c>
      <c r="S82">
        <v>75</v>
      </c>
      <c r="T82">
        <v>68</v>
      </c>
      <c r="U82">
        <v>90</v>
      </c>
      <c r="V82">
        <v>80</v>
      </c>
      <c r="W82">
        <v>102</v>
      </c>
      <c r="X82">
        <v>105</v>
      </c>
      <c r="Y82">
        <v>95</v>
      </c>
      <c r="Z82">
        <v>82</v>
      </c>
      <c r="AA82">
        <v>126</v>
      </c>
      <c r="AB82">
        <v>132</v>
      </c>
      <c r="AC82">
        <v>141</v>
      </c>
      <c r="AD82">
        <v>142</v>
      </c>
      <c r="AE82">
        <v>125</v>
      </c>
    </row>
    <row r="83" spans="3:31" x14ac:dyDescent="0.25">
      <c r="C83">
        <v>96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302</v>
      </c>
      <c r="R83">
        <v>78</v>
      </c>
      <c r="S83">
        <v>66</v>
      </c>
      <c r="T83">
        <v>73</v>
      </c>
      <c r="U83">
        <v>67</v>
      </c>
      <c r="V83">
        <v>88</v>
      </c>
      <c r="W83">
        <v>78</v>
      </c>
      <c r="X83">
        <v>98</v>
      </c>
      <c r="Y83">
        <v>103</v>
      </c>
      <c r="Z83">
        <v>94</v>
      </c>
      <c r="AA83">
        <v>81</v>
      </c>
      <c r="AB83">
        <v>126</v>
      </c>
      <c r="AC83">
        <v>126</v>
      </c>
      <c r="AD83">
        <v>136</v>
      </c>
      <c r="AE83">
        <v>137</v>
      </c>
    </row>
    <row r="84" spans="3:31" x14ac:dyDescent="0.25">
      <c r="C84">
        <v>97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292</v>
      </c>
      <c r="S84">
        <v>78</v>
      </c>
      <c r="T84">
        <v>65</v>
      </c>
      <c r="U84">
        <v>72</v>
      </c>
      <c r="V84">
        <v>65</v>
      </c>
      <c r="W84">
        <v>85</v>
      </c>
      <c r="X84">
        <v>75</v>
      </c>
      <c r="Y84">
        <v>95</v>
      </c>
      <c r="Z84">
        <v>101</v>
      </c>
      <c r="AA84">
        <v>92</v>
      </c>
      <c r="AB84">
        <v>80</v>
      </c>
      <c r="AC84">
        <v>123</v>
      </c>
      <c r="AD84">
        <v>124</v>
      </c>
      <c r="AE84">
        <v>134</v>
      </c>
    </row>
    <row r="85" spans="3:31" x14ac:dyDescent="0.25">
      <c r="C85">
        <v>98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282</v>
      </c>
      <c r="T85">
        <v>77</v>
      </c>
      <c r="U85">
        <v>60</v>
      </c>
      <c r="V85">
        <v>72</v>
      </c>
      <c r="W85">
        <v>61</v>
      </c>
      <c r="X85">
        <v>84</v>
      </c>
      <c r="Y85">
        <v>74</v>
      </c>
      <c r="Z85">
        <v>93</v>
      </c>
      <c r="AA85">
        <v>98</v>
      </c>
      <c r="AB85">
        <v>90</v>
      </c>
      <c r="AC85">
        <v>80</v>
      </c>
      <c r="AD85">
        <v>122</v>
      </c>
      <c r="AE85">
        <v>122</v>
      </c>
    </row>
    <row r="86" spans="3:31" x14ac:dyDescent="0.25">
      <c r="C86">
        <v>99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278</v>
      </c>
      <c r="U86">
        <v>76</v>
      </c>
      <c r="V86">
        <v>58</v>
      </c>
      <c r="W86">
        <v>69</v>
      </c>
      <c r="X86">
        <v>61</v>
      </c>
      <c r="Y86">
        <v>81</v>
      </c>
      <c r="Z86">
        <v>72</v>
      </c>
      <c r="AA86">
        <v>92</v>
      </c>
      <c r="AB86">
        <v>94</v>
      </c>
      <c r="AC86">
        <v>89</v>
      </c>
      <c r="AD86">
        <v>78</v>
      </c>
      <c r="AE86">
        <v>120</v>
      </c>
    </row>
    <row r="87" spans="3:31" x14ac:dyDescent="0.25">
      <c r="C87">
        <v>100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272</v>
      </c>
      <c r="V87">
        <v>76</v>
      </c>
      <c r="W87">
        <v>57</v>
      </c>
      <c r="X87">
        <v>69</v>
      </c>
      <c r="Y87">
        <v>57</v>
      </c>
      <c r="Z87">
        <v>77</v>
      </c>
      <c r="AA87">
        <v>68</v>
      </c>
      <c r="AB87">
        <v>90</v>
      </c>
      <c r="AC87">
        <v>91</v>
      </c>
      <c r="AD87">
        <v>85</v>
      </c>
      <c r="AE87">
        <v>76</v>
      </c>
    </row>
    <row r="88" spans="3:31" x14ac:dyDescent="0.25">
      <c r="C88">
        <v>101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267</v>
      </c>
      <c r="W88">
        <v>76</v>
      </c>
      <c r="X88">
        <v>55</v>
      </c>
      <c r="Y88">
        <v>69</v>
      </c>
      <c r="Z88">
        <v>56</v>
      </c>
      <c r="AA88">
        <v>76</v>
      </c>
      <c r="AB88">
        <v>66</v>
      </c>
      <c r="AC88">
        <v>90</v>
      </c>
      <c r="AD88">
        <v>90</v>
      </c>
      <c r="AE88">
        <v>83</v>
      </c>
    </row>
    <row r="89" spans="3:31" x14ac:dyDescent="0.25">
      <c r="C89">
        <v>102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261</v>
      </c>
      <c r="X89">
        <v>74</v>
      </c>
      <c r="Y89">
        <v>55</v>
      </c>
      <c r="Z89">
        <v>68</v>
      </c>
      <c r="AA89">
        <v>54</v>
      </c>
      <c r="AB89">
        <v>72</v>
      </c>
      <c r="AC89">
        <v>66</v>
      </c>
      <c r="AD89">
        <v>90</v>
      </c>
      <c r="AE89">
        <v>88</v>
      </c>
    </row>
    <row r="90" spans="3:31" x14ac:dyDescent="0.25">
      <c r="C90">
        <v>103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255</v>
      </c>
      <c r="Y90">
        <v>74</v>
      </c>
      <c r="Z90">
        <v>54</v>
      </c>
      <c r="AA90">
        <v>67</v>
      </c>
      <c r="AB90">
        <v>52</v>
      </c>
      <c r="AC90">
        <v>69</v>
      </c>
      <c r="AD90">
        <v>63</v>
      </c>
      <c r="AE90">
        <v>89</v>
      </c>
    </row>
    <row r="91" spans="3:31" x14ac:dyDescent="0.25">
      <c r="C91">
        <v>104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250</v>
      </c>
      <c r="Z91">
        <v>72</v>
      </c>
      <c r="AA91">
        <v>54</v>
      </c>
      <c r="AB91">
        <v>66</v>
      </c>
      <c r="AC91">
        <v>51</v>
      </c>
      <c r="AD91">
        <v>69</v>
      </c>
      <c r="AE91">
        <v>61</v>
      </c>
    </row>
    <row r="92" spans="3:31" x14ac:dyDescent="0.25">
      <c r="C92">
        <v>105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246</v>
      </c>
      <c r="AA92">
        <v>71</v>
      </c>
      <c r="AB92">
        <v>54</v>
      </c>
      <c r="AC92">
        <v>64</v>
      </c>
      <c r="AD92">
        <v>50</v>
      </c>
      <c r="AE92">
        <v>68</v>
      </c>
    </row>
    <row r="93" spans="3:31" x14ac:dyDescent="0.25">
      <c r="C93">
        <v>106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245</v>
      </c>
      <c r="AB93">
        <v>68</v>
      </c>
      <c r="AC93">
        <v>53</v>
      </c>
      <c r="AD93">
        <v>63</v>
      </c>
      <c r="AE93">
        <v>48</v>
      </c>
    </row>
    <row r="94" spans="3:31" x14ac:dyDescent="0.25">
      <c r="C94">
        <v>107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241</v>
      </c>
      <c r="AC94">
        <v>65</v>
      </c>
      <c r="AD94">
        <v>52</v>
      </c>
      <c r="AE94">
        <v>62</v>
      </c>
    </row>
    <row r="95" spans="3:31" x14ac:dyDescent="0.25">
      <c r="C95">
        <v>108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239</v>
      </c>
      <c r="AD95">
        <v>63</v>
      </c>
      <c r="AE95">
        <v>51</v>
      </c>
    </row>
    <row r="96" spans="3:31" x14ac:dyDescent="0.25">
      <c r="C96">
        <v>109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236</v>
      </c>
      <c r="AE96">
        <v>62</v>
      </c>
    </row>
    <row r="97" spans="3:36" x14ac:dyDescent="0.25">
      <c r="C97">
        <v>110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232</v>
      </c>
    </row>
    <row r="98" spans="3:36" x14ac:dyDescent="0.25">
      <c r="C98" t="s">
        <v>21</v>
      </c>
      <c r="D98">
        <v>0</v>
      </c>
      <c r="E98">
        <v>0</v>
      </c>
      <c r="F98">
        <v>0</v>
      </c>
      <c r="G98">
        <v>122</v>
      </c>
      <c r="H98">
        <v>226</v>
      </c>
      <c r="I98">
        <v>346</v>
      </c>
      <c r="J98">
        <v>482</v>
      </c>
      <c r="K98">
        <v>593</v>
      </c>
      <c r="L98">
        <v>751</v>
      </c>
      <c r="M98">
        <v>916</v>
      </c>
      <c r="N98">
        <v>1098</v>
      </c>
      <c r="O98">
        <v>1290</v>
      </c>
      <c r="P98">
        <v>1472</v>
      </c>
      <c r="Q98">
        <v>1656</v>
      </c>
      <c r="R98">
        <v>1848</v>
      </c>
      <c r="S98">
        <v>2055</v>
      </c>
      <c r="T98">
        <v>2240</v>
      </c>
      <c r="U98">
        <v>2445</v>
      </c>
      <c r="V98">
        <v>2663</v>
      </c>
      <c r="W98">
        <v>2891</v>
      </c>
      <c r="X98">
        <v>3111</v>
      </c>
      <c r="Y98">
        <v>3360</v>
      </c>
      <c r="Z98">
        <v>3613</v>
      </c>
      <c r="AA98">
        <v>3871</v>
      </c>
      <c r="AB98">
        <v>4200</v>
      </c>
      <c r="AC98">
        <v>4441</v>
      </c>
      <c r="AD98">
        <v>4716</v>
      </c>
      <c r="AE98">
        <v>5016</v>
      </c>
      <c r="AH98" t="s">
        <v>22</v>
      </c>
      <c r="AI98" t="s">
        <v>22</v>
      </c>
      <c r="AJ98" t="s">
        <v>38</v>
      </c>
    </row>
    <row r="99" spans="3:36" x14ac:dyDescent="0.25">
      <c r="AH99">
        <v>25</v>
      </c>
      <c r="AI99" t="s">
        <v>39</v>
      </c>
    </row>
    <row r="100" spans="3:36" x14ac:dyDescent="0.25">
      <c r="F100">
        <v>0</v>
      </c>
      <c r="G100">
        <v>1</v>
      </c>
      <c r="H100">
        <v>2</v>
      </c>
      <c r="I100">
        <v>3</v>
      </c>
      <c r="J100">
        <v>4</v>
      </c>
      <c r="K100">
        <v>5</v>
      </c>
      <c r="L100">
        <v>6</v>
      </c>
      <c r="M100">
        <v>7</v>
      </c>
      <c r="N100">
        <v>8</v>
      </c>
      <c r="O100">
        <v>9</v>
      </c>
      <c r="P100">
        <v>10</v>
      </c>
      <c r="Q100">
        <v>11</v>
      </c>
      <c r="R100">
        <v>12</v>
      </c>
      <c r="S100">
        <v>13</v>
      </c>
      <c r="T100">
        <v>14</v>
      </c>
      <c r="U100">
        <v>15</v>
      </c>
      <c r="V100">
        <v>16</v>
      </c>
      <c r="W100">
        <v>17</v>
      </c>
      <c r="X100">
        <v>18</v>
      </c>
      <c r="Y100">
        <v>19</v>
      </c>
      <c r="Z100">
        <v>20</v>
      </c>
      <c r="AA100">
        <v>21</v>
      </c>
      <c r="AB100">
        <v>22</v>
      </c>
      <c r="AC100">
        <v>23</v>
      </c>
      <c r="AD100">
        <v>24</v>
      </c>
      <c r="AE100">
        <v>25</v>
      </c>
      <c r="AF100" t="s">
        <v>39</v>
      </c>
      <c r="AH100">
        <v>1.7075773745997867E-2</v>
      </c>
    </row>
    <row r="101" spans="3:36" x14ac:dyDescent="0.25">
      <c r="C101">
        <v>20</v>
      </c>
      <c r="F101">
        <f t="shared" ref="F101:AD101" si="0">F7/SUM(F$6:F$96)</f>
        <v>1.9679172510518934E-2</v>
      </c>
      <c r="G101">
        <f t="shared" si="0"/>
        <v>4.7598442232799656E-4</v>
      </c>
      <c r="H101">
        <f t="shared" si="0"/>
        <v>2.9886431560071725E-4</v>
      </c>
      <c r="I101">
        <f t="shared" si="0"/>
        <v>4.6378278101020322E-4</v>
      </c>
      <c r="J101">
        <f t="shared" si="0"/>
        <v>3.7503125260438371E-4</v>
      </c>
      <c r="K101">
        <f t="shared" si="0"/>
        <v>4.1147183475291117E-4</v>
      </c>
      <c r="L101">
        <f t="shared" si="0"/>
        <v>2.4428972761695369E-4</v>
      </c>
      <c r="M101">
        <f t="shared" si="0"/>
        <v>4.0303079155247463E-4</v>
      </c>
      <c r="N101">
        <f t="shared" si="0"/>
        <v>4.7911842210332988E-4</v>
      </c>
      <c r="O101">
        <f t="shared" si="0"/>
        <v>2.3743569449940642E-4</v>
      </c>
      <c r="P101">
        <f t="shared" si="0"/>
        <v>4.7051442910915934E-4</v>
      </c>
      <c r="Q101">
        <f t="shared" si="0"/>
        <v>2.3313646254274168E-4</v>
      </c>
      <c r="R101">
        <f t="shared" si="0"/>
        <v>3.4668721109399074E-4</v>
      </c>
      <c r="S101">
        <f t="shared" si="0"/>
        <v>2.674920707707593E-4</v>
      </c>
      <c r="T101">
        <f t="shared" si="0"/>
        <v>2.6515151515151518E-4</v>
      </c>
      <c r="U101">
        <f t="shared" si="0"/>
        <v>3.0062756003156591E-4</v>
      </c>
      <c r="V101">
        <f t="shared" si="0"/>
        <v>3.7300906412025814E-4</v>
      </c>
      <c r="W101">
        <f t="shared" si="0"/>
        <v>3.7041152720672669E-4</v>
      </c>
      <c r="X101">
        <f t="shared" si="0"/>
        <v>4.0451586805427867E-4</v>
      </c>
      <c r="Y101">
        <f t="shared" si="0"/>
        <v>3.6549707602339179E-4</v>
      </c>
      <c r="Z101">
        <f t="shared" si="0"/>
        <v>3.633324855575337E-4</v>
      </c>
      <c r="AA101">
        <f t="shared" si="0"/>
        <v>1.0837758751490192E-4</v>
      </c>
      <c r="AB101">
        <f t="shared" si="0"/>
        <v>3.6012676462114662E-4</v>
      </c>
      <c r="AC101">
        <f t="shared" si="0"/>
        <v>3.9365851912822534E-4</v>
      </c>
      <c r="AD101">
        <f t="shared" si="0"/>
        <v>3.9168209656744054E-4</v>
      </c>
      <c r="AE101">
        <f t="shared" ref="AE101" si="1">AE7/SUM(AE$6:AE$96)</f>
        <v>3.2179633867276887E-4</v>
      </c>
      <c r="AH101">
        <v>1.7034726212954602E-2</v>
      </c>
    </row>
    <row r="102" spans="3:36" x14ac:dyDescent="0.25">
      <c r="C102">
        <v>21</v>
      </c>
      <c r="F102">
        <f t="shared" ref="F102:AD102" si="2">F8/SUM(F$6:F$96)</f>
        <v>1.8451963534361852E-2</v>
      </c>
      <c r="G102">
        <f t="shared" si="2"/>
        <v>1.9861531804413673E-2</v>
      </c>
      <c r="H102">
        <f t="shared" si="2"/>
        <v>8.9659294680215185E-4</v>
      </c>
      <c r="I102">
        <f t="shared" si="2"/>
        <v>7.1675520701576859E-4</v>
      </c>
      <c r="J102">
        <f t="shared" si="2"/>
        <v>7.917326443870323E-4</v>
      </c>
      <c r="K102">
        <f t="shared" si="2"/>
        <v>6.9950211907994898E-4</v>
      </c>
      <c r="L102">
        <f t="shared" si="2"/>
        <v>5.7000936443955862E-4</v>
      </c>
      <c r="M102">
        <f t="shared" si="2"/>
        <v>5.6424310817346441E-4</v>
      </c>
      <c r="N102">
        <f t="shared" si="2"/>
        <v>7.1867763315499483E-4</v>
      </c>
      <c r="O102">
        <f t="shared" si="2"/>
        <v>8.7059754649782353E-4</v>
      </c>
      <c r="P102">
        <f t="shared" si="2"/>
        <v>5.4893350062735255E-4</v>
      </c>
      <c r="Q102">
        <f t="shared" si="2"/>
        <v>5.8284115635685418E-4</v>
      </c>
      <c r="R102">
        <f t="shared" si="2"/>
        <v>5.3929121725731892E-4</v>
      </c>
      <c r="S102">
        <f t="shared" si="2"/>
        <v>7.6426305934502656E-4</v>
      </c>
      <c r="T102">
        <f t="shared" si="2"/>
        <v>8.3333333333333339E-4</v>
      </c>
      <c r="U102">
        <f t="shared" si="2"/>
        <v>6.0125512006313183E-4</v>
      </c>
      <c r="V102">
        <f t="shared" si="2"/>
        <v>6.7141631541646463E-4</v>
      </c>
      <c r="W102">
        <f t="shared" si="2"/>
        <v>7.4082305441345339E-4</v>
      </c>
      <c r="X102">
        <f t="shared" si="2"/>
        <v>5.1483837752362737E-4</v>
      </c>
      <c r="Y102">
        <f t="shared" si="2"/>
        <v>7.3099415204678359E-4</v>
      </c>
      <c r="Z102">
        <f t="shared" si="2"/>
        <v>5.4499872833630055E-4</v>
      </c>
      <c r="AA102">
        <f t="shared" si="2"/>
        <v>7.2251725009934618E-4</v>
      </c>
      <c r="AB102">
        <f t="shared" si="2"/>
        <v>3.6012676462114662E-4</v>
      </c>
      <c r="AC102">
        <f t="shared" si="2"/>
        <v>6.4416848584618693E-4</v>
      </c>
      <c r="AD102">
        <f t="shared" si="2"/>
        <v>6.4093433983762995E-4</v>
      </c>
      <c r="AE102">
        <f t="shared" ref="AE102" si="3">AE8/SUM(AE$6:AE$96)</f>
        <v>6.0783752860411899E-4</v>
      </c>
      <c r="AH102">
        <v>1.6993678679911337E-2</v>
      </c>
    </row>
    <row r="103" spans="3:36" x14ac:dyDescent="0.25">
      <c r="C103">
        <v>22</v>
      </c>
      <c r="F103">
        <f t="shared" ref="F103:AD103" si="4">F9/SUM(F$6:F$96)</f>
        <v>1.7969845722300141E-2</v>
      </c>
      <c r="G103">
        <f t="shared" si="4"/>
        <v>1.8347035915188232E-2</v>
      </c>
      <c r="H103">
        <f t="shared" si="4"/>
        <v>1.9810434634104687E-2</v>
      </c>
      <c r="I103">
        <f t="shared" si="4"/>
        <v>1.1383759170250443E-3</v>
      </c>
      <c r="J103">
        <f t="shared" si="4"/>
        <v>9.5841320110009163E-4</v>
      </c>
      <c r="K103">
        <f t="shared" si="4"/>
        <v>1.069826770357569E-3</v>
      </c>
      <c r="L103">
        <f t="shared" si="4"/>
        <v>1.0993037742762918E-3</v>
      </c>
      <c r="M103">
        <f t="shared" si="4"/>
        <v>8.8666774141544418E-4</v>
      </c>
      <c r="N103">
        <f t="shared" si="4"/>
        <v>9.1831030903138228E-4</v>
      </c>
      <c r="O103">
        <f t="shared" si="4"/>
        <v>9.1017016224772455E-4</v>
      </c>
      <c r="P103">
        <f t="shared" si="4"/>
        <v>1.1762860727728983E-3</v>
      </c>
      <c r="Q103">
        <f t="shared" si="4"/>
        <v>8.1597761889959592E-4</v>
      </c>
      <c r="R103">
        <f t="shared" si="4"/>
        <v>8.0893682588597843E-4</v>
      </c>
      <c r="S103">
        <f t="shared" si="4"/>
        <v>8.7890251824678054E-4</v>
      </c>
      <c r="T103">
        <f t="shared" si="4"/>
        <v>9.0909090909090909E-4</v>
      </c>
      <c r="U103">
        <f t="shared" si="4"/>
        <v>1.127353350118372E-3</v>
      </c>
      <c r="V103">
        <f t="shared" si="4"/>
        <v>9.6982356671267112E-4</v>
      </c>
      <c r="W103">
        <f t="shared" si="4"/>
        <v>1.0371522761788347E-3</v>
      </c>
      <c r="X103">
        <f t="shared" si="4"/>
        <v>1.1767734343397199E-3</v>
      </c>
      <c r="Y103">
        <f t="shared" si="4"/>
        <v>7.6754385964912281E-4</v>
      </c>
      <c r="Z103">
        <f t="shared" si="4"/>
        <v>1.1626639537841079E-3</v>
      </c>
      <c r="AA103">
        <f t="shared" si="4"/>
        <v>8.3089483761424803E-4</v>
      </c>
      <c r="AB103">
        <f t="shared" si="4"/>
        <v>1.0083549409392106E-3</v>
      </c>
      <c r="AC103">
        <f t="shared" si="4"/>
        <v>8.2310417635901654E-4</v>
      </c>
      <c r="AD103">
        <f t="shared" si="4"/>
        <v>8.5457911978350663E-4</v>
      </c>
      <c r="AE103">
        <f t="shared" ref="AE103" si="5">AE9/SUM(AE$6:AE$96)</f>
        <v>8.2236842105263153E-4</v>
      </c>
      <c r="AH103">
        <v>1.6952631146868073E-2</v>
      </c>
    </row>
    <row r="104" spans="3:36" x14ac:dyDescent="0.25">
      <c r="C104">
        <v>23</v>
      </c>
      <c r="F104">
        <f t="shared" ref="F104:AD104" si="6">F10/SUM(F$6:F$96)</f>
        <v>1.8758765778401121E-2</v>
      </c>
      <c r="G104">
        <f t="shared" si="6"/>
        <v>1.8260493292946777E-2</v>
      </c>
      <c r="H104">
        <f t="shared" si="6"/>
        <v>1.8785756980616516E-2</v>
      </c>
      <c r="I104">
        <f t="shared" si="6"/>
        <v>1.9900497512437811E-2</v>
      </c>
      <c r="J104">
        <f t="shared" si="6"/>
        <v>1.5417951495957996E-3</v>
      </c>
      <c r="K104">
        <f t="shared" si="6"/>
        <v>1.1932683207834423E-3</v>
      </c>
      <c r="L104">
        <f t="shared" si="6"/>
        <v>1.4250234110988965E-3</v>
      </c>
      <c r="M104">
        <f t="shared" si="6"/>
        <v>1.2896985329679186E-3</v>
      </c>
      <c r="N104">
        <f t="shared" si="6"/>
        <v>1.3575021959594347E-3</v>
      </c>
      <c r="O104">
        <f t="shared" si="6"/>
        <v>1.0684606252473288E-3</v>
      </c>
      <c r="P104">
        <f t="shared" si="6"/>
        <v>1.1370765370138018E-3</v>
      </c>
      <c r="Q104">
        <f t="shared" si="6"/>
        <v>1.554243083618278E-3</v>
      </c>
      <c r="R104">
        <f t="shared" si="6"/>
        <v>1.1941448382126348E-3</v>
      </c>
      <c r="S104">
        <f t="shared" si="6"/>
        <v>1.0699682830830372E-3</v>
      </c>
      <c r="T104">
        <f t="shared" si="6"/>
        <v>1.0606060606060607E-3</v>
      </c>
      <c r="U104">
        <f t="shared" si="6"/>
        <v>1.427980910149938E-3</v>
      </c>
      <c r="V104">
        <f t="shared" si="6"/>
        <v>1.4174344436569809E-3</v>
      </c>
      <c r="W104">
        <f t="shared" si="6"/>
        <v>1.3705226506648886E-3</v>
      </c>
      <c r="X104">
        <f t="shared" si="6"/>
        <v>1.1767734343397199E-3</v>
      </c>
      <c r="Y104">
        <f t="shared" si="6"/>
        <v>1.4254385964912282E-3</v>
      </c>
      <c r="Z104">
        <f t="shared" si="6"/>
        <v>1.0899974566726011E-3</v>
      </c>
      <c r="AA104">
        <f t="shared" si="6"/>
        <v>1.5895379502185614E-3</v>
      </c>
      <c r="AB104">
        <f t="shared" si="6"/>
        <v>1.0443676174013252E-3</v>
      </c>
      <c r="AC104">
        <f t="shared" si="6"/>
        <v>1.2883369716923739E-3</v>
      </c>
      <c r="AD104">
        <f t="shared" si="6"/>
        <v>1.1394388263780088E-3</v>
      </c>
      <c r="AE104">
        <f t="shared" ref="AE104" si="7">AE10/SUM(AE$6:AE$96)</f>
        <v>1.1441647597254005E-3</v>
      </c>
      <c r="AF104">
        <f>SUM(AE100:AE104)</f>
        <v>25.002896167048053</v>
      </c>
      <c r="AH104">
        <v>1.7075773745997867E-2</v>
      </c>
      <c r="AI104">
        <v>8.5132583531729741E-2</v>
      </c>
      <c r="AJ104">
        <v>7.8055726600985198E-2</v>
      </c>
    </row>
    <row r="105" spans="3:36" x14ac:dyDescent="0.25">
      <c r="C105">
        <v>24</v>
      </c>
      <c r="F105">
        <f t="shared" ref="F105:AD105" si="8">F11/SUM(F$6:F$96)</f>
        <v>1.7619214586255261E-2</v>
      </c>
      <c r="G105">
        <f t="shared" si="8"/>
        <v>1.8952834270878408E-2</v>
      </c>
      <c r="H105">
        <f t="shared" si="8"/>
        <v>1.8188028349415079E-2</v>
      </c>
      <c r="I105">
        <f t="shared" si="8"/>
        <v>1.8930769879416477E-2</v>
      </c>
      <c r="J105">
        <f t="shared" si="8"/>
        <v>1.9876656388032335E-2</v>
      </c>
      <c r="K105">
        <f t="shared" si="8"/>
        <v>1.7281817059622269E-3</v>
      </c>
      <c r="L105">
        <f t="shared" si="8"/>
        <v>1.5064533203045479E-3</v>
      </c>
      <c r="M105">
        <f t="shared" si="8"/>
        <v>1.7330324036756409E-3</v>
      </c>
      <c r="N105">
        <f t="shared" si="8"/>
        <v>1.636987942186377E-3</v>
      </c>
      <c r="O105">
        <f t="shared" si="8"/>
        <v>1.8994855559952514E-3</v>
      </c>
      <c r="P105">
        <f t="shared" si="8"/>
        <v>1.2939146800501882E-3</v>
      </c>
      <c r="Q105">
        <f t="shared" si="8"/>
        <v>1.3988187752564502E-3</v>
      </c>
      <c r="R105">
        <f t="shared" si="8"/>
        <v>1.7334360554699538E-3</v>
      </c>
      <c r="S105">
        <f t="shared" si="8"/>
        <v>1.4903129657228018E-3</v>
      </c>
      <c r="T105">
        <f t="shared" si="8"/>
        <v>1.4772727272727272E-3</v>
      </c>
      <c r="U105">
        <f t="shared" si="8"/>
        <v>1.2025102401262637E-3</v>
      </c>
      <c r="V105">
        <f t="shared" si="8"/>
        <v>1.4920362564810326E-3</v>
      </c>
      <c r="W105">
        <f t="shared" si="8"/>
        <v>1.6298107197095975E-3</v>
      </c>
      <c r="X105">
        <f t="shared" si="8"/>
        <v>1.8754826609789284E-3</v>
      </c>
      <c r="Y105">
        <f t="shared" si="8"/>
        <v>1.5716374269005848E-3</v>
      </c>
      <c r="Z105">
        <f t="shared" si="8"/>
        <v>1.7803291792319151E-3</v>
      </c>
      <c r="AA105">
        <f t="shared" si="8"/>
        <v>1.4450345001986924E-3</v>
      </c>
      <c r="AB105">
        <f t="shared" si="8"/>
        <v>2.0887352348026504E-3</v>
      </c>
      <c r="AC105">
        <f t="shared" si="8"/>
        <v>1.3956983860000717E-3</v>
      </c>
      <c r="AD105">
        <f t="shared" si="8"/>
        <v>1.4599059962968237E-3</v>
      </c>
      <c r="AE105">
        <f t="shared" ref="AE105" si="9">AE11/SUM(AE$6:AE$96)</f>
        <v>1.4659610983981694E-3</v>
      </c>
      <c r="AH105">
        <v>1.6993678679911337E-2</v>
      </c>
    </row>
    <row r="106" spans="3:36" x14ac:dyDescent="0.25">
      <c r="C106">
        <v>25</v>
      </c>
      <c r="F106">
        <f t="shared" ref="F106:AD106" si="10">F12/SUM(F$6:F$96)</f>
        <v>1.8188990182328189E-2</v>
      </c>
      <c r="G106">
        <f t="shared" si="10"/>
        <v>1.7827780181739507E-2</v>
      </c>
      <c r="H106">
        <f t="shared" si="10"/>
        <v>1.9041926393988558E-2</v>
      </c>
      <c r="I106">
        <f t="shared" si="10"/>
        <v>1.8087528459397925E-2</v>
      </c>
      <c r="J106">
        <f t="shared" si="10"/>
        <v>1.8876573047753979E-2</v>
      </c>
      <c r="K106">
        <f t="shared" si="10"/>
        <v>1.9874089618565609E-2</v>
      </c>
      <c r="L106">
        <f t="shared" si="10"/>
        <v>1.9950327755384554E-3</v>
      </c>
      <c r="M106">
        <f t="shared" si="10"/>
        <v>1.8136385619861358E-3</v>
      </c>
      <c r="N106">
        <f t="shared" si="10"/>
        <v>2.0362532939391521E-3</v>
      </c>
      <c r="O106">
        <f t="shared" si="10"/>
        <v>1.7411950929956471E-3</v>
      </c>
      <c r="P106">
        <f t="shared" si="10"/>
        <v>2.0781053952321203E-3</v>
      </c>
      <c r="Q106">
        <f t="shared" si="10"/>
        <v>1.6708113148896488E-3</v>
      </c>
      <c r="R106">
        <f t="shared" si="10"/>
        <v>1.7334360554699538E-3</v>
      </c>
      <c r="S106">
        <f t="shared" si="10"/>
        <v>1.9488708013298177E-3</v>
      </c>
      <c r="T106">
        <f t="shared" si="10"/>
        <v>1.8181818181818182E-3</v>
      </c>
      <c r="U106">
        <f t="shared" si="10"/>
        <v>1.6534515801736125E-3</v>
      </c>
      <c r="V106">
        <f t="shared" si="10"/>
        <v>1.4174344436569809E-3</v>
      </c>
      <c r="W106">
        <f t="shared" si="10"/>
        <v>1.7779753305922881E-3</v>
      </c>
      <c r="X106">
        <f t="shared" si="10"/>
        <v>1.801934321332696E-3</v>
      </c>
      <c r="Y106">
        <f t="shared" si="10"/>
        <v>2.1564327485380117E-3</v>
      </c>
      <c r="Z106">
        <f t="shared" si="10"/>
        <v>1.7439959306761617E-3</v>
      </c>
      <c r="AA106">
        <f t="shared" si="10"/>
        <v>2.0953000252881037E-3</v>
      </c>
      <c r="AB106">
        <f t="shared" si="10"/>
        <v>1.6565831172572745E-3</v>
      </c>
      <c r="AC106">
        <f t="shared" si="10"/>
        <v>2.3977382528719178E-3</v>
      </c>
      <c r="AD106">
        <f t="shared" si="10"/>
        <v>1.5311209229454494E-3</v>
      </c>
      <c r="AE106">
        <f t="shared" ref="AE106" si="11">AE12/SUM(AE$6:AE$96)</f>
        <v>1.7877574370709383E-3</v>
      </c>
      <c r="AH106">
        <v>1.7034726212954602E-2</v>
      </c>
    </row>
    <row r="107" spans="3:36" x14ac:dyDescent="0.25">
      <c r="C107">
        <v>26</v>
      </c>
      <c r="F107">
        <f t="shared" ref="F107:AD107" si="12">F13/SUM(F$6:F$96)</f>
        <v>2.0468092566619914E-2</v>
      </c>
      <c r="G107">
        <f t="shared" si="12"/>
        <v>1.8347035915188232E-2</v>
      </c>
      <c r="H107">
        <f t="shared" si="12"/>
        <v>1.7931858936043037E-2</v>
      </c>
      <c r="I107">
        <f t="shared" si="12"/>
        <v>1.8972931950417403E-2</v>
      </c>
      <c r="J107">
        <f t="shared" si="12"/>
        <v>1.8251520960080005E-2</v>
      </c>
      <c r="K107">
        <f t="shared" si="12"/>
        <v>1.9092293132535076E-2</v>
      </c>
      <c r="L107">
        <f t="shared" si="12"/>
        <v>1.9991042709987378E-2</v>
      </c>
      <c r="M107">
        <f t="shared" si="12"/>
        <v>2.53909398678059E-3</v>
      </c>
      <c r="N107">
        <f t="shared" si="12"/>
        <v>2.1560328994649843E-3</v>
      </c>
      <c r="O107">
        <f t="shared" si="12"/>
        <v>2.3347843292441631E-3</v>
      </c>
      <c r="P107">
        <f t="shared" si="12"/>
        <v>2.0388958594730238E-3</v>
      </c>
      <c r="Q107">
        <f t="shared" si="12"/>
        <v>2.3702207025178739E-3</v>
      </c>
      <c r="R107">
        <f t="shared" si="12"/>
        <v>1.926040061633282E-3</v>
      </c>
      <c r="S107">
        <f t="shared" si="12"/>
        <v>1.9488708013298177E-3</v>
      </c>
      <c r="T107">
        <f t="shared" si="12"/>
        <v>2.3863636363636366E-3</v>
      </c>
      <c r="U107">
        <f t="shared" si="12"/>
        <v>2.1419713652249071E-3</v>
      </c>
      <c r="V107">
        <f t="shared" si="12"/>
        <v>2.0142489462493937E-3</v>
      </c>
      <c r="W107">
        <f t="shared" si="12"/>
        <v>1.5186872615475793E-3</v>
      </c>
      <c r="X107">
        <f t="shared" si="12"/>
        <v>2.0961276799176258E-3</v>
      </c>
      <c r="Y107">
        <f t="shared" si="12"/>
        <v>1.9736842105263159E-3</v>
      </c>
      <c r="Z107">
        <f t="shared" si="12"/>
        <v>2.5433273989027361E-3</v>
      </c>
      <c r="AA107">
        <f t="shared" si="12"/>
        <v>1.8062931252483653E-3</v>
      </c>
      <c r="AB107">
        <f t="shared" si="12"/>
        <v>2.2327859406511092E-3</v>
      </c>
      <c r="AC107">
        <f t="shared" si="12"/>
        <v>1.8967183194359947E-3</v>
      </c>
      <c r="AD107">
        <f t="shared" si="12"/>
        <v>2.6349522859991452E-3</v>
      </c>
      <c r="AE107">
        <f t="shared" ref="AE107" si="13">AE13/SUM(AE$6:AE$96)</f>
        <v>1.8950228832951945E-3</v>
      </c>
      <c r="AH107">
        <v>1.6788441014695017E-2</v>
      </c>
    </row>
    <row r="108" spans="3:36" x14ac:dyDescent="0.25">
      <c r="C108">
        <v>27</v>
      </c>
      <c r="F108">
        <f t="shared" ref="F108:AD108" si="14">F14/SUM(F$6:F$96)</f>
        <v>1.8758765778401121E-2</v>
      </c>
      <c r="G108">
        <f t="shared" si="14"/>
        <v>2.0337516226741671E-2</v>
      </c>
      <c r="H108">
        <f t="shared" si="14"/>
        <v>1.852958756724447E-2</v>
      </c>
      <c r="I108">
        <f t="shared" si="14"/>
        <v>1.8171852601399779E-2</v>
      </c>
      <c r="J108">
        <f t="shared" si="14"/>
        <v>1.8918243186932245E-2</v>
      </c>
      <c r="K108">
        <f t="shared" si="14"/>
        <v>1.8392791013455128E-2</v>
      </c>
      <c r="L108">
        <f t="shared" si="14"/>
        <v>1.9095313708725213E-2</v>
      </c>
      <c r="M108">
        <f t="shared" si="14"/>
        <v>2.0111236498468483E-2</v>
      </c>
      <c r="N108">
        <f t="shared" si="14"/>
        <v>2.7150043919188693E-3</v>
      </c>
      <c r="O108">
        <f t="shared" si="14"/>
        <v>2.21606648199446E-3</v>
      </c>
      <c r="P108">
        <f t="shared" si="14"/>
        <v>2.6662484316185698E-3</v>
      </c>
      <c r="Q108">
        <f t="shared" si="14"/>
        <v>2.3313646254274167E-3</v>
      </c>
      <c r="R108">
        <f t="shared" si="14"/>
        <v>2.6194144838212635E-3</v>
      </c>
      <c r="S108">
        <f t="shared" si="14"/>
        <v>2.1399365661660744E-3</v>
      </c>
      <c r="T108">
        <f t="shared" si="14"/>
        <v>2.1590909090909091E-3</v>
      </c>
      <c r="U108">
        <f t="shared" si="14"/>
        <v>2.5929127052722557E-3</v>
      </c>
      <c r="V108">
        <f t="shared" si="14"/>
        <v>2.3872580103696519E-3</v>
      </c>
      <c r="W108">
        <f t="shared" si="14"/>
        <v>2.22246916324036E-3</v>
      </c>
      <c r="X108">
        <f t="shared" si="14"/>
        <v>1.9858051704482772E-3</v>
      </c>
      <c r="Y108">
        <f t="shared" si="14"/>
        <v>2.3026315789473682E-3</v>
      </c>
      <c r="Z108">
        <f t="shared" si="14"/>
        <v>2.0709951676779422E-3</v>
      </c>
      <c r="AA108">
        <f t="shared" si="14"/>
        <v>2.8900690003973847E-3</v>
      </c>
      <c r="AB108">
        <f t="shared" si="14"/>
        <v>2.1247479112647652E-3</v>
      </c>
      <c r="AC108">
        <f t="shared" si="14"/>
        <v>2.5408868052821817E-3</v>
      </c>
      <c r="AD108">
        <f t="shared" si="14"/>
        <v>2.5281298960262073E-3</v>
      </c>
      <c r="AE108">
        <f t="shared" ref="AE108" si="15">AE14/SUM(AE$6:AE$96)</f>
        <v>2.860411899313501E-3</v>
      </c>
      <c r="AH108">
        <v>1.6747393481651753E-2</v>
      </c>
    </row>
    <row r="109" spans="3:36" x14ac:dyDescent="0.25">
      <c r="C109">
        <v>28</v>
      </c>
      <c r="F109">
        <f t="shared" ref="F109:AD109" si="16">F15/SUM(F$6:F$96)</f>
        <v>1.8846423562412343E-2</v>
      </c>
      <c r="G109">
        <f t="shared" si="16"/>
        <v>1.864993509303332E-2</v>
      </c>
      <c r="H109">
        <f t="shared" si="16"/>
        <v>2.0322773460848775E-2</v>
      </c>
      <c r="I109">
        <f t="shared" si="16"/>
        <v>1.8593473311409058E-2</v>
      </c>
      <c r="J109">
        <f t="shared" si="16"/>
        <v>1.8293191099258272E-2</v>
      </c>
      <c r="K109">
        <f t="shared" si="16"/>
        <v>1.8886557215158622E-2</v>
      </c>
      <c r="L109">
        <f t="shared" si="16"/>
        <v>1.8403159480477178E-2</v>
      </c>
      <c r="M109">
        <f t="shared" si="16"/>
        <v>1.9103659519587295E-2</v>
      </c>
      <c r="N109">
        <f t="shared" si="16"/>
        <v>2.0202826798690409E-2</v>
      </c>
      <c r="O109">
        <f t="shared" si="16"/>
        <v>3.1658092599920855E-3</v>
      </c>
      <c r="P109">
        <f t="shared" si="16"/>
        <v>2.6270388958594729E-3</v>
      </c>
      <c r="Q109">
        <f t="shared" si="16"/>
        <v>2.8364936276033571E-3</v>
      </c>
      <c r="R109">
        <f t="shared" si="16"/>
        <v>2.7349768875192604E-3</v>
      </c>
      <c r="S109">
        <f t="shared" si="16"/>
        <v>2.7131338606748443E-3</v>
      </c>
      <c r="T109">
        <f t="shared" si="16"/>
        <v>2.6893939393939394E-3</v>
      </c>
      <c r="U109">
        <f t="shared" si="16"/>
        <v>2.4050204802525273E-3</v>
      </c>
      <c r="V109">
        <f t="shared" si="16"/>
        <v>2.8721697937259877E-3</v>
      </c>
      <c r="W109">
        <f t="shared" si="16"/>
        <v>2.6669629958884322E-3</v>
      </c>
      <c r="X109">
        <f t="shared" si="16"/>
        <v>2.427095208325672E-3</v>
      </c>
      <c r="Y109">
        <f t="shared" si="16"/>
        <v>2.2295321637426902E-3</v>
      </c>
      <c r="Z109">
        <f t="shared" si="16"/>
        <v>2.761326890237256E-3</v>
      </c>
      <c r="AA109">
        <f t="shared" si="16"/>
        <v>2.5288103753477115E-3</v>
      </c>
      <c r="AB109">
        <f t="shared" si="16"/>
        <v>3.1331028522039758E-3</v>
      </c>
      <c r="AC109">
        <f t="shared" si="16"/>
        <v>2.3977382528719178E-3</v>
      </c>
      <c r="AD109">
        <f t="shared" si="16"/>
        <v>2.8129896026207091E-3</v>
      </c>
      <c r="AE109">
        <f t="shared" ref="AE109" si="17">AE15/SUM(AE$6:AE$96)</f>
        <v>2.7889016018306637E-3</v>
      </c>
      <c r="AF109">
        <f>SUM(AE105:AE109)</f>
        <v>1.0798054919908467E-2</v>
      </c>
      <c r="AH109">
        <v>1.6665298415565223E-2</v>
      </c>
      <c r="AI109">
        <v>8.4229537804777932E-2</v>
      </c>
      <c r="AJ109">
        <v>8.2485375615763606E-2</v>
      </c>
    </row>
    <row r="110" spans="3:36" x14ac:dyDescent="0.25">
      <c r="C110">
        <v>29</v>
      </c>
      <c r="F110">
        <f t="shared" ref="F110:AD110" si="18">F16/SUM(F$6:F$96)</f>
        <v>1.8714936886395511E-2</v>
      </c>
      <c r="G110">
        <f t="shared" si="18"/>
        <v>1.8866291648636953E-2</v>
      </c>
      <c r="H110">
        <f t="shared" si="18"/>
        <v>1.8828451882845189E-2</v>
      </c>
      <c r="I110">
        <f t="shared" si="18"/>
        <v>2.0322118222447085E-2</v>
      </c>
      <c r="J110">
        <f t="shared" si="18"/>
        <v>1.8709892491040919E-2</v>
      </c>
      <c r="K110">
        <f t="shared" si="18"/>
        <v>1.843393819693042E-2</v>
      </c>
      <c r="L110">
        <f t="shared" si="18"/>
        <v>1.9176743617930866E-2</v>
      </c>
      <c r="M110">
        <f t="shared" si="18"/>
        <v>1.8378204094792842E-2</v>
      </c>
      <c r="N110">
        <f t="shared" si="18"/>
        <v>1.9204663419308474E-2</v>
      </c>
      <c r="O110">
        <f t="shared" si="18"/>
        <v>2.030075187969925E-2</v>
      </c>
      <c r="P110">
        <f t="shared" si="18"/>
        <v>3.4896486825595984E-3</v>
      </c>
      <c r="Q110">
        <f t="shared" si="18"/>
        <v>2.914205781784271E-3</v>
      </c>
      <c r="R110">
        <f t="shared" si="18"/>
        <v>3.1201848998459168E-3</v>
      </c>
      <c r="S110">
        <f t="shared" si="18"/>
        <v>2.9424127784783522E-3</v>
      </c>
      <c r="T110">
        <f t="shared" si="18"/>
        <v>2.9166666666666668E-3</v>
      </c>
      <c r="U110">
        <f t="shared" si="18"/>
        <v>3.0062756003156588E-3</v>
      </c>
      <c r="V110">
        <f t="shared" si="18"/>
        <v>2.5364616360177552E-3</v>
      </c>
      <c r="W110">
        <f t="shared" si="18"/>
        <v>3.1484979812571767E-3</v>
      </c>
      <c r="X110">
        <f t="shared" si="18"/>
        <v>2.8683852462030668E-3</v>
      </c>
      <c r="Y110">
        <f t="shared" si="18"/>
        <v>2.5584795321637425E-3</v>
      </c>
      <c r="Z110">
        <f t="shared" si="18"/>
        <v>2.5069941503469825E-3</v>
      </c>
      <c r="AA110">
        <f t="shared" si="18"/>
        <v>2.9984465879122862E-3</v>
      </c>
      <c r="AB110">
        <f t="shared" si="18"/>
        <v>2.9530394698934026E-3</v>
      </c>
      <c r="AC110">
        <f t="shared" si="18"/>
        <v>3.43556525784633E-3</v>
      </c>
      <c r="AD110">
        <f t="shared" si="18"/>
        <v>2.884204529269335E-3</v>
      </c>
      <c r="AE110">
        <f t="shared" ref="AE110" si="19">AE16/SUM(AE$6:AE$96)</f>
        <v>3.1106979405034325E-3</v>
      </c>
      <c r="AH110">
        <v>1.6665298415565223E-2</v>
      </c>
    </row>
    <row r="111" spans="3:36" x14ac:dyDescent="0.25">
      <c r="C111">
        <v>30</v>
      </c>
      <c r="F111">
        <f t="shared" ref="F111:AD111" si="20">F17/SUM(F$6:F$96)</f>
        <v>1.7137096774193547E-2</v>
      </c>
      <c r="G111">
        <f t="shared" si="20"/>
        <v>1.8909562959757681E-2</v>
      </c>
      <c r="H111">
        <f t="shared" si="20"/>
        <v>1.8785756980616516E-2</v>
      </c>
      <c r="I111">
        <f t="shared" si="20"/>
        <v>1.8888607808415548E-2</v>
      </c>
      <c r="J111">
        <f t="shared" si="20"/>
        <v>2.0335027918993248E-2</v>
      </c>
      <c r="K111">
        <f t="shared" si="20"/>
        <v>1.8927704398633914E-2</v>
      </c>
      <c r="L111">
        <f t="shared" si="20"/>
        <v>1.8566019298888483E-2</v>
      </c>
      <c r="M111">
        <f t="shared" si="20"/>
        <v>1.938578107367403E-2</v>
      </c>
      <c r="N111">
        <f t="shared" si="20"/>
        <v>1.8525912321328754E-2</v>
      </c>
      <c r="O111">
        <f t="shared" si="20"/>
        <v>1.9113573407202215E-2</v>
      </c>
      <c r="P111">
        <f t="shared" si="20"/>
        <v>2.0310539523212046E-2</v>
      </c>
      <c r="Q111">
        <f t="shared" si="20"/>
        <v>3.652471246502953E-3</v>
      </c>
      <c r="R111">
        <f t="shared" si="20"/>
        <v>3.1587057010785823E-3</v>
      </c>
      <c r="S111">
        <f t="shared" si="20"/>
        <v>3.4009706140853682E-3</v>
      </c>
      <c r="T111">
        <f t="shared" si="20"/>
        <v>3.446969696969697E-3</v>
      </c>
      <c r="U111">
        <f t="shared" si="20"/>
        <v>3.2317462703393336E-3</v>
      </c>
      <c r="V111">
        <f t="shared" si="20"/>
        <v>3.1705770450221942E-3</v>
      </c>
      <c r="W111">
        <f t="shared" si="20"/>
        <v>2.8151276067711227E-3</v>
      </c>
      <c r="X111">
        <f t="shared" si="20"/>
        <v>3.4935461331960429E-3</v>
      </c>
      <c r="Y111">
        <f t="shared" si="20"/>
        <v>3.3260233918128656E-3</v>
      </c>
      <c r="Z111">
        <f t="shared" si="20"/>
        <v>2.8339933873487628E-3</v>
      </c>
      <c r="AA111">
        <f t="shared" si="20"/>
        <v>2.8539431378924174E-3</v>
      </c>
      <c r="AB111">
        <f t="shared" si="20"/>
        <v>3.2771535580524347E-3</v>
      </c>
      <c r="AC111">
        <f t="shared" si="20"/>
        <v>3.1134810149232367E-3</v>
      </c>
      <c r="AD111">
        <f t="shared" si="20"/>
        <v>3.9524284289987185E-3</v>
      </c>
      <c r="AE111">
        <f t="shared" ref="AE111" si="21">AE17/SUM(AE$6:AE$96)</f>
        <v>3.2894736842105261E-3</v>
      </c>
      <c r="AH111">
        <v>1.6911583613824808E-2</v>
      </c>
    </row>
    <row r="112" spans="3:36" x14ac:dyDescent="0.25">
      <c r="C112">
        <v>31</v>
      </c>
      <c r="F112">
        <f t="shared" ref="F112:AD112" si="22">F18/SUM(F$6:F$96)</f>
        <v>1.6917952314165499E-2</v>
      </c>
      <c r="G112">
        <f t="shared" si="22"/>
        <v>1.7092167892687148E-2</v>
      </c>
      <c r="H112">
        <f t="shared" si="22"/>
        <v>1.8871146785073862E-2</v>
      </c>
      <c r="I112">
        <f t="shared" si="22"/>
        <v>1.8930769879416477E-2</v>
      </c>
      <c r="J112">
        <f t="shared" si="22"/>
        <v>1.9001583465288775E-2</v>
      </c>
      <c r="K112">
        <f t="shared" si="22"/>
        <v>2.0450150187219684E-2</v>
      </c>
      <c r="L112">
        <f t="shared" si="22"/>
        <v>1.8932453890313911E-2</v>
      </c>
      <c r="M112">
        <f t="shared" si="22"/>
        <v>1.8740931807190071E-2</v>
      </c>
      <c r="N112">
        <f t="shared" si="22"/>
        <v>1.9564002235885971E-2</v>
      </c>
      <c r="O112">
        <f t="shared" si="22"/>
        <v>1.8599129402453504E-2</v>
      </c>
      <c r="P112">
        <f t="shared" si="22"/>
        <v>1.9212672521957339E-2</v>
      </c>
      <c r="Q112">
        <f t="shared" si="22"/>
        <v>2.0399440472489896E-2</v>
      </c>
      <c r="R112">
        <f t="shared" si="22"/>
        <v>3.9676425269645609E-3</v>
      </c>
      <c r="S112">
        <f t="shared" si="22"/>
        <v>3.3245443081508655E-3</v>
      </c>
      <c r="T112">
        <f t="shared" si="22"/>
        <v>3.6363636363636364E-3</v>
      </c>
      <c r="U112">
        <f t="shared" si="22"/>
        <v>3.6451091653827363E-3</v>
      </c>
      <c r="V112">
        <f t="shared" si="22"/>
        <v>3.3943824834943488E-3</v>
      </c>
      <c r="W112">
        <f t="shared" si="22"/>
        <v>3.4818683557432308E-3</v>
      </c>
      <c r="X112">
        <f t="shared" si="22"/>
        <v>2.9051594160261832E-3</v>
      </c>
      <c r="Y112">
        <f t="shared" si="22"/>
        <v>3.7646198830409358E-3</v>
      </c>
      <c r="Z112">
        <f t="shared" si="22"/>
        <v>3.524325109908077E-3</v>
      </c>
      <c r="AA112">
        <f t="shared" si="22"/>
        <v>3.1068241754271882E-3</v>
      </c>
      <c r="AB112">
        <f t="shared" si="22"/>
        <v>3.097090175741861E-3</v>
      </c>
      <c r="AC112">
        <f t="shared" si="22"/>
        <v>3.5429266721540278E-3</v>
      </c>
      <c r="AD112">
        <f t="shared" si="22"/>
        <v>3.2758866258367752E-3</v>
      </c>
      <c r="AE112">
        <f t="shared" ref="AE112" si="23">AE18/SUM(AE$6:AE$96)</f>
        <v>4.1475972540045763E-3</v>
      </c>
      <c r="AH112">
        <v>1.6788441014695017E-2</v>
      </c>
    </row>
    <row r="113" spans="3:36" x14ac:dyDescent="0.25">
      <c r="C113">
        <v>32</v>
      </c>
      <c r="F113">
        <f t="shared" ref="F113:AD113" si="24">F19/SUM(F$6:F$96)</f>
        <v>1.7663043478260868E-2</v>
      </c>
      <c r="G113">
        <f t="shared" si="24"/>
        <v>1.7005625270445694E-2</v>
      </c>
      <c r="H113">
        <f t="shared" si="24"/>
        <v>1.7077960891469558E-2</v>
      </c>
      <c r="I113">
        <f t="shared" si="24"/>
        <v>1.8846445737414622E-2</v>
      </c>
      <c r="J113">
        <f t="shared" si="24"/>
        <v>1.9209934161180098E-2</v>
      </c>
      <c r="K113">
        <f t="shared" si="24"/>
        <v>1.9174587499485661E-2</v>
      </c>
      <c r="L113">
        <f t="shared" si="24"/>
        <v>2.0683196938235414E-2</v>
      </c>
      <c r="M113">
        <f t="shared" si="24"/>
        <v>1.8902144123811058E-2</v>
      </c>
      <c r="N113">
        <f t="shared" si="24"/>
        <v>1.8805398067555698E-2</v>
      </c>
      <c r="O113">
        <f t="shared" si="24"/>
        <v>1.9786307874950535E-2</v>
      </c>
      <c r="P113">
        <f t="shared" si="24"/>
        <v>1.8585319949811795E-2</v>
      </c>
      <c r="Q113">
        <f t="shared" si="24"/>
        <v>1.9194902082685733E-2</v>
      </c>
      <c r="R113">
        <f t="shared" si="24"/>
        <v>2.0570107858243453E-2</v>
      </c>
      <c r="S113">
        <f t="shared" si="24"/>
        <v>4.2034468263976461E-3</v>
      </c>
      <c r="T113">
        <f t="shared" si="24"/>
        <v>3.674242424242424E-3</v>
      </c>
      <c r="U113">
        <f t="shared" si="24"/>
        <v>3.7202660553906281E-3</v>
      </c>
      <c r="V113">
        <f t="shared" si="24"/>
        <v>3.9165951732627099E-3</v>
      </c>
      <c r="W113">
        <f t="shared" si="24"/>
        <v>3.4077860503018854E-3</v>
      </c>
      <c r="X113">
        <f t="shared" si="24"/>
        <v>3.7509653219578568E-3</v>
      </c>
      <c r="Y113">
        <f t="shared" si="24"/>
        <v>3.1067251461988302E-3</v>
      </c>
      <c r="Z113">
        <f t="shared" si="24"/>
        <v>4.0693238382443772E-3</v>
      </c>
      <c r="AA113">
        <f t="shared" si="24"/>
        <v>3.7209638380116326E-3</v>
      </c>
      <c r="AB113">
        <f t="shared" si="24"/>
        <v>3.5292422932872371E-3</v>
      </c>
      <c r="AC113">
        <f t="shared" si="24"/>
        <v>3.43556525784633E-3</v>
      </c>
      <c r="AD113">
        <f t="shared" si="24"/>
        <v>3.5963537957555904E-3</v>
      </c>
      <c r="AE113">
        <f t="shared" ref="AE113" si="25">AE19/SUM(AE$6:AE$96)</f>
        <v>3.5040045766590389E-3</v>
      </c>
      <c r="AH113">
        <v>1.6911583613824808E-2</v>
      </c>
    </row>
    <row r="114" spans="3:36" x14ac:dyDescent="0.25">
      <c r="C114">
        <v>33</v>
      </c>
      <c r="F114">
        <f t="shared" ref="F114:AD114" si="26">F20/SUM(F$6:F$96)</f>
        <v>1.6742636746143059E-2</v>
      </c>
      <c r="G114">
        <f t="shared" si="26"/>
        <v>1.7481609692773691E-2</v>
      </c>
      <c r="H114">
        <f t="shared" si="26"/>
        <v>1.7163350695926907E-2</v>
      </c>
      <c r="I114">
        <f t="shared" si="26"/>
        <v>1.7033476684374736E-2</v>
      </c>
      <c r="J114">
        <f t="shared" si="26"/>
        <v>1.8834902908575715E-2</v>
      </c>
      <c r="K114">
        <f t="shared" si="26"/>
        <v>1.9339176233386823E-2</v>
      </c>
      <c r="L114">
        <f t="shared" si="26"/>
        <v>1.9258173527136518E-2</v>
      </c>
      <c r="M114">
        <f t="shared" si="26"/>
        <v>2.0876995002418186E-2</v>
      </c>
      <c r="N114">
        <f t="shared" si="26"/>
        <v>1.8925177673081529E-2</v>
      </c>
      <c r="O114">
        <f t="shared" si="26"/>
        <v>1.9034428175702413E-2</v>
      </c>
      <c r="P114">
        <f t="shared" si="26"/>
        <v>1.991844416562108E-2</v>
      </c>
      <c r="Q114">
        <f t="shared" si="26"/>
        <v>1.8806341311781164E-2</v>
      </c>
      <c r="R114">
        <f t="shared" si="26"/>
        <v>1.9375963020030817E-2</v>
      </c>
      <c r="S114">
        <f t="shared" si="26"/>
        <v>2.0864381520119227E-2</v>
      </c>
      <c r="T114">
        <f t="shared" si="26"/>
        <v>4.3560606060606064E-3</v>
      </c>
      <c r="U114">
        <f t="shared" si="26"/>
        <v>3.9081582804103565E-3</v>
      </c>
      <c r="V114">
        <f t="shared" si="26"/>
        <v>4.103099705322839E-3</v>
      </c>
      <c r="W114">
        <f t="shared" si="26"/>
        <v>4.3708560210393745E-3</v>
      </c>
      <c r="X114">
        <f t="shared" si="26"/>
        <v>3.7877394917809732E-3</v>
      </c>
      <c r="Y114">
        <f t="shared" si="26"/>
        <v>3.8377192982456138E-3</v>
      </c>
      <c r="Z114">
        <f t="shared" si="26"/>
        <v>3.3426588671293098E-3</v>
      </c>
      <c r="AA114">
        <f t="shared" si="26"/>
        <v>4.2989776380911093E-3</v>
      </c>
      <c r="AB114">
        <f t="shared" si="26"/>
        <v>3.9253817343704988E-3</v>
      </c>
      <c r="AC114">
        <f t="shared" si="26"/>
        <v>3.8292237769745555E-3</v>
      </c>
      <c r="AD114">
        <f t="shared" si="26"/>
        <v>3.8099985757014672E-3</v>
      </c>
      <c r="AE114">
        <f t="shared" ref="AE114" si="27">AE20/SUM(AE$6:AE$96)</f>
        <v>3.7542906178489703E-3</v>
      </c>
      <c r="AF114">
        <f>SUM(AE110:AE114)</f>
        <v>1.7806064073226543E-2</v>
      </c>
      <c r="AH114">
        <v>1.6870536080781547E-2</v>
      </c>
      <c r="AI114">
        <v>8.4147442738691403E-2</v>
      </c>
      <c r="AJ114">
        <v>8.4440424876847303E-2</v>
      </c>
    </row>
    <row r="115" spans="3:36" x14ac:dyDescent="0.25">
      <c r="C115">
        <v>34</v>
      </c>
      <c r="F115">
        <f t="shared" ref="F115:AD115" si="28">F21/SUM(F$6:F$96)</f>
        <v>1.7619214586255261E-2</v>
      </c>
      <c r="G115">
        <f t="shared" si="28"/>
        <v>1.6962353959324966E-2</v>
      </c>
      <c r="H115">
        <f t="shared" si="28"/>
        <v>1.7419520109298949E-2</v>
      </c>
      <c r="I115">
        <f t="shared" si="28"/>
        <v>1.732861118138123E-2</v>
      </c>
      <c r="J115">
        <f t="shared" si="28"/>
        <v>1.6918076506375532E-2</v>
      </c>
      <c r="K115">
        <f t="shared" si="28"/>
        <v>1.8927704398633914E-2</v>
      </c>
      <c r="L115">
        <f t="shared" si="28"/>
        <v>1.9543178209356298E-2</v>
      </c>
      <c r="M115">
        <f t="shared" si="28"/>
        <v>1.9264871836208286E-2</v>
      </c>
      <c r="N115">
        <f t="shared" si="28"/>
        <v>2.100135750219596E-2</v>
      </c>
      <c r="O115">
        <f t="shared" si="28"/>
        <v>1.9192718638702019E-2</v>
      </c>
      <c r="P115">
        <f t="shared" si="28"/>
        <v>1.9330301129234631E-2</v>
      </c>
      <c r="Q115">
        <f t="shared" si="28"/>
        <v>1.9972023624494871E-2</v>
      </c>
      <c r="R115">
        <f t="shared" si="28"/>
        <v>1.8875192604006163E-2</v>
      </c>
      <c r="S115">
        <f t="shared" si="28"/>
        <v>1.9374068554396422E-2</v>
      </c>
      <c r="T115">
        <f t="shared" si="28"/>
        <v>2.0795454545454544E-2</v>
      </c>
      <c r="U115">
        <f t="shared" si="28"/>
        <v>4.4718349554695429E-3</v>
      </c>
      <c r="V115">
        <f t="shared" si="28"/>
        <v>4.1404006117348648E-3</v>
      </c>
      <c r="W115">
        <f t="shared" si="28"/>
        <v>4.5931029373634108E-3</v>
      </c>
      <c r="X115">
        <f t="shared" si="28"/>
        <v>4.5967712278895305E-3</v>
      </c>
      <c r="Y115">
        <f t="shared" si="28"/>
        <v>4.1666666666666666E-3</v>
      </c>
      <c r="Z115">
        <f t="shared" si="28"/>
        <v>3.8876575954656105E-3</v>
      </c>
      <c r="AA115">
        <f t="shared" si="28"/>
        <v>3.7570897005165999E-3</v>
      </c>
      <c r="AB115">
        <f t="shared" si="28"/>
        <v>4.5015845577643333E-3</v>
      </c>
      <c r="AC115">
        <f t="shared" si="28"/>
        <v>4.2944565723079123E-3</v>
      </c>
      <c r="AD115">
        <f t="shared" si="28"/>
        <v>4.1660732089445944E-3</v>
      </c>
      <c r="AE115">
        <f t="shared" ref="AE115" si="29">AE21/SUM(AE$6:AE$96)</f>
        <v>3.9688215102974831E-3</v>
      </c>
      <c r="AH115">
        <v>1.6788441014695017E-2</v>
      </c>
    </row>
    <row r="116" spans="3:36" x14ac:dyDescent="0.25">
      <c r="C116">
        <v>35</v>
      </c>
      <c r="F116">
        <f t="shared" ref="F116:AD116" si="30">F22/SUM(F$6:F$96)</f>
        <v>1.7663043478260868E-2</v>
      </c>
      <c r="G116">
        <f t="shared" si="30"/>
        <v>1.7654694937256597E-2</v>
      </c>
      <c r="H116">
        <f t="shared" si="30"/>
        <v>1.6864486380326189E-2</v>
      </c>
      <c r="I116">
        <f t="shared" si="30"/>
        <v>1.7455097394384011E-2</v>
      </c>
      <c r="J116">
        <f t="shared" si="30"/>
        <v>1.7334777898158179E-2</v>
      </c>
      <c r="K116">
        <f t="shared" si="30"/>
        <v>1.7034933958770523E-2</v>
      </c>
      <c r="L116">
        <f t="shared" si="30"/>
        <v>1.9054598754122389E-2</v>
      </c>
      <c r="M116">
        <f t="shared" si="30"/>
        <v>1.9667902627760761E-2</v>
      </c>
      <c r="N116">
        <f t="shared" si="30"/>
        <v>1.9284516489659027E-2</v>
      </c>
      <c r="O116">
        <f t="shared" si="30"/>
        <v>2.1171349426197073E-2</v>
      </c>
      <c r="P116">
        <f t="shared" si="30"/>
        <v>1.9291091593475532E-2</v>
      </c>
      <c r="Q116">
        <f t="shared" si="30"/>
        <v>1.9428038545228475E-2</v>
      </c>
      <c r="R116">
        <f t="shared" si="30"/>
        <v>1.9915254237288134E-2</v>
      </c>
      <c r="S116">
        <f t="shared" si="30"/>
        <v>1.9030150177691163E-2</v>
      </c>
      <c r="T116">
        <f t="shared" si="30"/>
        <v>1.9583333333333335E-2</v>
      </c>
      <c r="U116">
        <f t="shared" si="30"/>
        <v>2.0743301642178046E-2</v>
      </c>
      <c r="V116">
        <f t="shared" si="30"/>
        <v>4.6999142079152522E-3</v>
      </c>
      <c r="W116">
        <f t="shared" si="30"/>
        <v>4.3338148683187017E-3</v>
      </c>
      <c r="X116">
        <f t="shared" si="30"/>
        <v>4.8174162468282277E-3</v>
      </c>
      <c r="Y116">
        <f t="shared" si="30"/>
        <v>4.6052631578947364E-3</v>
      </c>
      <c r="Z116">
        <f t="shared" si="30"/>
        <v>4.396323075246158E-3</v>
      </c>
      <c r="AA116">
        <f t="shared" si="30"/>
        <v>4.15447418807124E-3</v>
      </c>
      <c r="AB116">
        <f t="shared" si="30"/>
        <v>3.8893690579083835E-3</v>
      </c>
      <c r="AC116">
        <f t="shared" si="30"/>
        <v>4.8312636438464012E-3</v>
      </c>
      <c r="AD116">
        <f t="shared" si="30"/>
        <v>4.5221478421877221E-3</v>
      </c>
      <c r="AE116">
        <f t="shared" ref="AE116" si="31">AE22/SUM(AE$6:AE$96)</f>
        <v>4.6124141876430205E-3</v>
      </c>
      <c r="AH116">
        <v>1.6460060750348903E-2</v>
      </c>
    </row>
    <row r="117" spans="3:36" x14ac:dyDescent="0.25">
      <c r="C117">
        <v>36</v>
      </c>
      <c r="F117">
        <f t="shared" ref="F117:AD117" si="32">F23/SUM(F$6:F$96)</f>
        <v>1.7969845722300141E-2</v>
      </c>
      <c r="G117">
        <f t="shared" si="32"/>
        <v>1.7654694937256597E-2</v>
      </c>
      <c r="H117">
        <f t="shared" si="32"/>
        <v>1.7889164033814364E-2</v>
      </c>
      <c r="I117">
        <f t="shared" si="32"/>
        <v>1.7075638755375665E-2</v>
      </c>
      <c r="J117">
        <f t="shared" si="32"/>
        <v>1.7626468872406032E-2</v>
      </c>
      <c r="K117">
        <f t="shared" si="32"/>
        <v>1.7569847343949306E-2</v>
      </c>
      <c r="L117">
        <f t="shared" si="32"/>
        <v>1.7426000570009363E-2</v>
      </c>
      <c r="M117">
        <f t="shared" si="32"/>
        <v>1.9143962598742546E-2</v>
      </c>
      <c r="N117">
        <f t="shared" si="32"/>
        <v>1.988341451728819E-2</v>
      </c>
      <c r="O117">
        <f t="shared" si="32"/>
        <v>1.9390581717451522E-2</v>
      </c>
      <c r="P117">
        <f t="shared" si="32"/>
        <v>2.1055520702634882E-2</v>
      </c>
      <c r="Q117">
        <f t="shared" si="32"/>
        <v>1.9544606776499846E-2</v>
      </c>
      <c r="R117">
        <f t="shared" si="32"/>
        <v>1.9761171032357472E-2</v>
      </c>
      <c r="S117">
        <f t="shared" si="32"/>
        <v>2.0061905307806948E-2</v>
      </c>
      <c r="T117">
        <f t="shared" si="32"/>
        <v>1.9053030303030304E-2</v>
      </c>
      <c r="U117">
        <f t="shared" si="32"/>
        <v>1.9691105182067566E-2</v>
      </c>
      <c r="V117">
        <f t="shared" si="32"/>
        <v>2.0851206684322429E-2</v>
      </c>
      <c r="W117">
        <f t="shared" si="32"/>
        <v>5.0005556172908099E-3</v>
      </c>
      <c r="X117">
        <f t="shared" si="32"/>
        <v>4.6335453977126469E-3</v>
      </c>
      <c r="Y117">
        <f t="shared" si="32"/>
        <v>5.0438596491228071E-3</v>
      </c>
      <c r="Z117">
        <f t="shared" si="32"/>
        <v>4.7596555608036915E-3</v>
      </c>
      <c r="AA117">
        <f t="shared" si="32"/>
        <v>4.5879845381308479E-3</v>
      </c>
      <c r="AB117">
        <f t="shared" si="32"/>
        <v>4.4655718813022185E-3</v>
      </c>
      <c r="AC117">
        <f t="shared" si="32"/>
        <v>4.0439466055899511E-3</v>
      </c>
      <c r="AD117">
        <f t="shared" si="32"/>
        <v>4.9494374020794757E-3</v>
      </c>
      <c r="AE117">
        <f t="shared" ref="AE117" si="33">AE23/SUM(AE$6:AE$96)</f>
        <v>4.6839244851258578E-3</v>
      </c>
      <c r="AH117">
        <v>1.6665298415565223E-2</v>
      </c>
    </row>
    <row r="118" spans="3:36" x14ac:dyDescent="0.25">
      <c r="C118">
        <v>37</v>
      </c>
      <c r="F118">
        <f t="shared" ref="F118:AD118" si="34">F24/SUM(F$6:F$96)</f>
        <v>1.7005610098176718E-2</v>
      </c>
      <c r="G118">
        <f t="shared" si="34"/>
        <v>1.804413673734314E-2</v>
      </c>
      <c r="H118">
        <f t="shared" si="34"/>
        <v>1.7761079327128341E-2</v>
      </c>
      <c r="I118">
        <f t="shared" si="34"/>
        <v>1.7876718104393289E-2</v>
      </c>
      <c r="J118">
        <f t="shared" si="34"/>
        <v>1.7543128594049506E-2</v>
      </c>
      <c r="K118">
        <f t="shared" si="34"/>
        <v>1.7528700160474017E-2</v>
      </c>
      <c r="L118">
        <f t="shared" si="34"/>
        <v>1.754814543381784E-2</v>
      </c>
      <c r="M118">
        <f t="shared" si="34"/>
        <v>1.7410930195066902E-2</v>
      </c>
      <c r="N118">
        <f t="shared" si="34"/>
        <v>1.9244589954483748E-2</v>
      </c>
      <c r="O118">
        <f t="shared" si="34"/>
        <v>1.9905025722200237E-2</v>
      </c>
      <c r="P118">
        <f t="shared" si="34"/>
        <v>1.9643977415307403E-2</v>
      </c>
      <c r="Q118">
        <f t="shared" si="34"/>
        <v>2.1448554553932235E-2</v>
      </c>
      <c r="R118">
        <f t="shared" si="34"/>
        <v>1.9684129429892141E-2</v>
      </c>
      <c r="S118">
        <f t="shared" si="34"/>
        <v>1.979441323703619E-2</v>
      </c>
      <c r="T118">
        <f t="shared" si="34"/>
        <v>2.0378787878787878E-2</v>
      </c>
      <c r="U118">
        <f t="shared" si="34"/>
        <v>1.9052271617000488E-2</v>
      </c>
      <c r="V118">
        <f t="shared" si="34"/>
        <v>1.9844082211197732E-2</v>
      </c>
      <c r="W118">
        <f t="shared" si="34"/>
        <v>2.1002333592621401E-2</v>
      </c>
      <c r="X118">
        <f t="shared" si="34"/>
        <v>5.0380612657669249E-3</v>
      </c>
      <c r="Y118">
        <f t="shared" si="34"/>
        <v>4.7514619883040933E-3</v>
      </c>
      <c r="Z118">
        <f t="shared" si="34"/>
        <v>5.1956545434727322E-3</v>
      </c>
      <c r="AA118">
        <f t="shared" si="34"/>
        <v>4.9853690256854884E-3</v>
      </c>
      <c r="AB118">
        <f t="shared" si="34"/>
        <v>4.8977239988475946E-3</v>
      </c>
      <c r="AC118">
        <f t="shared" si="34"/>
        <v>4.7954765057438356E-3</v>
      </c>
      <c r="AD118">
        <f t="shared" si="34"/>
        <v>4.2372881355932203E-3</v>
      </c>
      <c r="AE118">
        <f t="shared" ref="AE118" si="35">AE24/SUM(AE$6:AE$96)</f>
        <v>5.2560068649885588E-3</v>
      </c>
      <c r="AH118">
        <v>1.6419013217305638E-2</v>
      </c>
    </row>
    <row r="119" spans="3:36" x14ac:dyDescent="0.25">
      <c r="C119">
        <v>38</v>
      </c>
      <c r="F119">
        <f t="shared" ref="F119:AD119" si="36">F25/SUM(F$6:F$96)</f>
        <v>1.7926016830294531E-2</v>
      </c>
      <c r="G119">
        <f t="shared" si="36"/>
        <v>1.6919082648204242E-2</v>
      </c>
      <c r="H119">
        <f t="shared" si="36"/>
        <v>1.8017248740500383E-2</v>
      </c>
      <c r="I119">
        <f t="shared" si="36"/>
        <v>1.7918880175394215E-2</v>
      </c>
      <c r="J119">
        <f t="shared" si="36"/>
        <v>1.7751479289940829E-2</v>
      </c>
      <c r="K119">
        <f t="shared" si="36"/>
        <v>1.7487552976998725E-2</v>
      </c>
      <c r="L119">
        <f t="shared" si="36"/>
        <v>1.754814543381784E-2</v>
      </c>
      <c r="M119">
        <f t="shared" si="36"/>
        <v>1.777365790746413E-2</v>
      </c>
      <c r="N119">
        <f t="shared" si="36"/>
        <v>1.764752854747265E-2</v>
      </c>
      <c r="O119">
        <f t="shared" si="36"/>
        <v>1.9271863870201821E-2</v>
      </c>
      <c r="P119">
        <f t="shared" si="36"/>
        <v>2.0114491844416563E-2</v>
      </c>
      <c r="Q119">
        <f t="shared" si="36"/>
        <v>1.9661175007771214E-2</v>
      </c>
      <c r="R119">
        <f t="shared" si="36"/>
        <v>2.1571648690292759E-2</v>
      </c>
      <c r="S119">
        <f t="shared" si="36"/>
        <v>1.9985479001872444E-2</v>
      </c>
      <c r="T119">
        <f t="shared" si="36"/>
        <v>1.9734848484848484E-2</v>
      </c>
      <c r="U119">
        <f t="shared" si="36"/>
        <v>2.0442674082146482E-2</v>
      </c>
      <c r="V119">
        <f t="shared" si="36"/>
        <v>1.932186952142937E-2</v>
      </c>
      <c r="W119">
        <f t="shared" si="36"/>
        <v>2.000222246916324E-2</v>
      </c>
      <c r="X119">
        <f t="shared" si="36"/>
        <v>2.0998050968999375E-2</v>
      </c>
      <c r="Y119">
        <f t="shared" si="36"/>
        <v>5.3728070175438599E-3</v>
      </c>
      <c r="Z119">
        <f t="shared" si="36"/>
        <v>5.013988300693965E-3</v>
      </c>
      <c r="AA119">
        <f t="shared" si="36"/>
        <v>5.4550052382500635E-3</v>
      </c>
      <c r="AB119">
        <f t="shared" si="36"/>
        <v>5.3658887928550846E-3</v>
      </c>
      <c r="AC119">
        <f t="shared" si="36"/>
        <v>5.117560748666929E-3</v>
      </c>
      <c r="AD119">
        <f t="shared" si="36"/>
        <v>5.2342971086739784E-3</v>
      </c>
      <c r="AE119">
        <f t="shared" ref="AE119" si="37">AE25/SUM(AE$6:AE$96)</f>
        <v>4.5051487414187645E-3</v>
      </c>
      <c r="AF119">
        <f>SUM(AE115:AE119)</f>
        <v>2.3026315789473683E-2</v>
      </c>
      <c r="AH119">
        <v>1.6419013217305638E-2</v>
      </c>
      <c r="AI119">
        <v>8.2751826615220417E-2</v>
      </c>
      <c r="AJ119">
        <v>8.5741225369458093E-2</v>
      </c>
    </row>
    <row r="120" spans="3:36" x14ac:dyDescent="0.25">
      <c r="C120">
        <v>39</v>
      </c>
      <c r="F120">
        <f t="shared" ref="F120:AD120" si="38">F26/SUM(F$6:F$96)</f>
        <v>1.7838359046283309E-2</v>
      </c>
      <c r="G120">
        <f t="shared" si="38"/>
        <v>1.8087408048463868E-2</v>
      </c>
      <c r="H120">
        <f t="shared" si="38"/>
        <v>1.7163350695926907E-2</v>
      </c>
      <c r="I120">
        <f t="shared" si="38"/>
        <v>1.7961042246395144E-2</v>
      </c>
      <c r="J120">
        <f t="shared" si="38"/>
        <v>1.7751479289940829E-2</v>
      </c>
      <c r="K120">
        <f t="shared" si="38"/>
        <v>1.7857877628276345E-2</v>
      </c>
      <c r="L120">
        <f t="shared" si="38"/>
        <v>1.7588860388420668E-2</v>
      </c>
      <c r="M120">
        <f t="shared" si="38"/>
        <v>1.7531839432532646E-2</v>
      </c>
      <c r="N120">
        <f t="shared" si="38"/>
        <v>1.7927014293699594E-2</v>
      </c>
      <c r="O120">
        <f t="shared" si="38"/>
        <v>1.7688959240205776E-2</v>
      </c>
      <c r="P120">
        <f t="shared" si="38"/>
        <v>1.9487139272271015E-2</v>
      </c>
      <c r="Q120">
        <f t="shared" si="38"/>
        <v>2.0244016164128069E-2</v>
      </c>
      <c r="R120">
        <f t="shared" si="38"/>
        <v>1.9799691833590139E-2</v>
      </c>
      <c r="S120">
        <f t="shared" si="38"/>
        <v>2.1666857732431502E-2</v>
      </c>
      <c r="T120">
        <f t="shared" si="38"/>
        <v>2.0037878787878789E-2</v>
      </c>
      <c r="U120">
        <f t="shared" si="38"/>
        <v>1.9803840517079403E-2</v>
      </c>
      <c r="V120">
        <f t="shared" si="38"/>
        <v>2.0627401245850274E-2</v>
      </c>
      <c r="W120">
        <f t="shared" si="38"/>
        <v>1.9668852094677187E-2</v>
      </c>
      <c r="X120">
        <f t="shared" si="38"/>
        <v>2.0115470893244586E-2</v>
      </c>
      <c r="Y120">
        <f t="shared" si="38"/>
        <v>2.1125730994152048E-2</v>
      </c>
      <c r="Z120">
        <f t="shared" si="38"/>
        <v>5.7043200232532792E-3</v>
      </c>
      <c r="AA120">
        <f t="shared" si="38"/>
        <v>5.0937466132003903E-3</v>
      </c>
      <c r="AB120">
        <f t="shared" si="38"/>
        <v>5.6900028810141171E-3</v>
      </c>
      <c r="AC120">
        <f t="shared" si="38"/>
        <v>5.5470064058977201E-3</v>
      </c>
      <c r="AD120">
        <f t="shared" si="38"/>
        <v>5.2342971086739784E-3</v>
      </c>
      <c r="AE120">
        <f t="shared" ref="AE120" si="39">AE26/SUM(AE$6:AE$96)</f>
        <v>5.3990274599542334E-3</v>
      </c>
      <c r="AH120">
        <v>1.6377965684262377E-2</v>
      </c>
    </row>
    <row r="121" spans="3:36" x14ac:dyDescent="0.25">
      <c r="C121">
        <v>40</v>
      </c>
      <c r="F121">
        <f t="shared" ref="F121:AD121" si="40">F27/SUM(F$6:F$96)</f>
        <v>1.9547685834502105E-2</v>
      </c>
      <c r="G121">
        <f t="shared" si="40"/>
        <v>1.7957594115101689E-2</v>
      </c>
      <c r="H121">
        <f t="shared" si="40"/>
        <v>1.8358807958329774E-2</v>
      </c>
      <c r="I121">
        <f t="shared" si="40"/>
        <v>1.7286449110380301E-2</v>
      </c>
      <c r="J121">
        <f t="shared" si="40"/>
        <v>1.8001500125010419E-2</v>
      </c>
      <c r="K121">
        <f t="shared" si="40"/>
        <v>1.7940171995226926E-2</v>
      </c>
      <c r="L121">
        <f t="shared" si="40"/>
        <v>1.7996009934448925E-2</v>
      </c>
      <c r="M121">
        <f t="shared" si="40"/>
        <v>1.7652748669998389E-2</v>
      </c>
      <c r="N121">
        <f t="shared" si="40"/>
        <v>1.7607602012297371E-2</v>
      </c>
      <c r="O121">
        <f t="shared" si="40"/>
        <v>1.8005540166204988E-2</v>
      </c>
      <c r="P121">
        <f t="shared" si="40"/>
        <v>1.7918757841907152E-2</v>
      </c>
      <c r="Q121">
        <f t="shared" si="40"/>
        <v>1.9583462853590302E-2</v>
      </c>
      <c r="R121">
        <f t="shared" si="40"/>
        <v>2.0338983050847456E-2</v>
      </c>
      <c r="S121">
        <f t="shared" si="40"/>
        <v>2.01001184607742E-2</v>
      </c>
      <c r="T121">
        <f t="shared" si="40"/>
        <v>2.1780303030303032E-2</v>
      </c>
      <c r="U121">
        <f t="shared" si="40"/>
        <v>2.0029311187103077E-2</v>
      </c>
      <c r="V121">
        <f t="shared" si="40"/>
        <v>1.976948039837368E-2</v>
      </c>
      <c r="W121">
        <f t="shared" si="40"/>
        <v>2.0631922065414674E-2</v>
      </c>
      <c r="X121">
        <f t="shared" si="40"/>
        <v>1.996837421395212E-2</v>
      </c>
      <c r="Y121">
        <f t="shared" si="40"/>
        <v>2.0248538011695908E-2</v>
      </c>
      <c r="Z121">
        <f t="shared" si="40"/>
        <v>2.1327616902227228E-2</v>
      </c>
      <c r="AA121">
        <f t="shared" si="40"/>
        <v>5.8885155883096705E-3</v>
      </c>
      <c r="AB121">
        <f t="shared" si="40"/>
        <v>5.2938634399308558E-3</v>
      </c>
      <c r="AC121">
        <f t="shared" si="40"/>
        <v>5.9406649250259456E-3</v>
      </c>
      <c r="AD121">
        <f t="shared" si="40"/>
        <v>5.6615866685657311E-3</v>
      </c>
      <c r="AE121">
        <f t="shared" ref="AE121" si="41">AE27/SUM(AE$6:AE$96)</f>
        <v>5.5420480549199088E-3</v>
      </c>
      <c r="AH121">
        <v>1.6295870618175848E-2</v>
      </c>
    </row>
    <row r="122" spans="3:36" x14ac:dyDescent="0.25">
      <c r="C122">
        <v>41</v>
      </c>
      <c r="F122">
        <f t="shared" ref="F122:AD122" si="42">F28/SUM(F$6:F$96)</f>
        <v>1.8276647966339411E-2</v>
      </c>
      <c r="G122">
        <f t="shared" si="42"/>
        <v>1.947209000432713E-2</v>
      </c>
      <c r="H122">
        <f t="shared" si="42"/>
        <v>1.797455383827171E-2</v>
      </c>
      <c r="I122">
        <f t="shared" si="42"/>
        <v>1.8424825027405348E-2</v>
      </c>
      <c r="J122">
        <f t="shared" si="42"/>
        <v>1.7251437619801649E-2</v>
      </c>
      <c r="K122">
        <f t="shared" si="42"/>
        <v>1.8104760729128092E-2</v>
      </c>
      <c r="L122">
        <f t="shared" si="42"/>
        <v>1.7873865070640448E-2</v>
      </c>
      <c r="M122">
        <f t="shared" si="42"/>
        <v>1.8136385619861358E-2</v>
      </c>
      <c r="N122">
        <f t="shared" si="42"/>
        <v>1.7567675477122097E-2</v>
      </c>
      <c r="O122">
        <f t="shared" si="42"/>
        <v>1.772853185595568E-2</v>
      </c>
      <c r="P122">
        <f t="shared" si="42"/>
        <v>1.815401505646173E-2</v>
      </c>
      <c r="Q122">
        <f t="shared" si="42"/>
        <v>1.8068075847062482E-2</v>
      </c>
      <c r="R122">
        <f t="shared" si="42"/>
        <v>1.9722650231124808E-2</v>
      </c>
      <c r="S122">
        <f t="shared" si="42"/>
        <v>2.044403683747946E-2</v>
      </c>
      <c r="T122">
        <f t="shared" si="42"/>
        <v>2.0227272727272726E-2</v>
      </c>
      <c r="U122">
        <f t="shared" si="42"/>
        <v>2.1945811882304309E-2</v>
      </c>
      <c r="V122">
        <f t="shared" si="42"/>
        <v>2.0142489462493939E-2</v>
      </c>
      <c r="W122">
        <f t="shared" si="42"/>
        <v>1.9854057858280549E-2</v>
      </c>
      <c r="X122">
        <f t="shared" si="42"/>
        <v>2.0814180119883792E-2</v>
      </c>
      <c r="Y122">
        <f t="shared" si="42"/>
        <v>2.0102339181286549E-2</v>
      </c>
      <c r="Z122">
        <f t="shared" si="42"/>
        <v>2.0237619445554626E-2</v>
      </c>
      <c r="AA122">
        <f t="shared" si="42"/>
        <v>2.1278133015425742E-2</v>
      </c>
      <c r="AB122">
        <f t="shared" si="42"/>
        <v>6.158167675021608E-3</v>
      </c>
      <c r="AC122">
        <f t="shared" si="42"/>
        <v>5.5112192677951545E-3</v>
      </c>
      <c r="AD122">
        <f t="shared" si="42"/>
        <v>6.0532687651331718E-3</v>
      </c>
      <c r="AE122">
        <f t="shared" ref="AE122" si="43">AE28/SUM(AE$6:AE$96)</f>
        <v>6.0068649885583521E-3</v>
      </c>
      <c r="AH122">
        <v>1.6090632952959528E-2</v>
      </c>
    </row>
    <row r="123" spans="3:36" x14ac:dyDescent="0.25">
      <c r="C123">
        <v>42</v>
      </c>
      <c r="F123">
        <f t="shared" ref="F123:AD123" si="44">F29/SUM(F$6:F$96)</f>
        <v>1.7663043478260868E-2</v>
      </c>
      <c r="G123">
        <f t="shared" si="44"/>
        <v>1.8303764604067504E-2</v>
      </c>
      <c r="H123">
        <f t="shared" si="44"/>
        <v>1.9596960122961318E-2</v>
      </c>
      <c r="I123">
        <f t="shared" si="44"/>
        <v>1.7961042246395144E-2</v>
      </c>
      <c r="J123">
        <f t="shared" si="44"/>
        <v>1.8501541795149595E-2</v>
      </c>
      <c r="K123">
        <f t="shared" si="44"/>
        <v>1.7199522692671686E-2</v>
      </c>
      <c r="L123">
        <f t="shared" si="44"/>
        <v>1.8240299662065876E-2</v>
      </c>
      <c r="M123">
        <f t="shared" si="44"/>
        <v>1.7854264065774623E-2</v>
      </c>
      <c r="N123">
        <f t="shared" si="44"/>
        <v>1.8206500039926535E-2</v>
      </c>
      <c r="O123">
        <f t="shared" si="44"/>
        <v>1.7649386624455875E-2</v>
      </c>
      <c r="P123">
        <f t="shared" si="44"/>
        <v>1.7957967377666247E-2</v>
      </c>
      <c r="Q123">
        <f t="shared" si="44"/>
        <v>1.8145788001243394E-2</v>
      </c>
      <c r="R123">
        <f t="shared" si="44"/>
        <v>1.8143297380585517E-2</v>
      </c>
      <c r="S123">
        <f t="shared" si="44"/>
        <v>1.987083954297069E-2</v>
      </c>
      <c r="T123">
        <f t="shared" si="44"/>
        <v>2.0719696969696971E-2</v>
      </c>
      <c r="U123">
        <f t="shared" si="44"/>
        <v>2.0517830972154372E-2</v>
      </c>
      <c r="V123">
        <f t="shared" si="44"/>
        <v>2.200753478309523E-2</v>
      </c>
      <c r="W123">
        <f t="shared" si="44"/>
        <v>2.0224469385487276E-2</v>
      </c>
      <c r="X123">
        <f t="shared" si="44"/>
        <v>2.0005148383775238E-2</v>
      </c>
      <c r="Y123">
        <f t="shared" si="44"/>
        <v>2.0796783625730994E-2</v>
      </c>
      <c r="Z123">
        <f t="shared" si="44"/>
        <v>2.0019619954220108E-2</v>
      </c>
      <c r="AA123">
        <f t="shared" si="44"/>
        <v>2.0374986452801561E-2</v>
      </c>
      <c r="AB123">
        <f t="shared" si="44"/>
        <v>2.1463555171420338E-2</v>
      </c>
      <c r="AC123">
        <f t="shared" si="44"/>
        <v>6.4058977203593033E-3</v>
      </c>
      <c r="AD123">
        <f t="shared" si="44"/>
        <v>5.732801595214357E-3</v>
      </c>
      <c r="AE123">
        <f t="shared" ref="AE123" si="45">AE29/SUM(AE$6:AE$96)</f>
        <v>6.3286613272311209E-3</v>
      </c>
      <c r="AH123">
        <v>1.6336918151219113E-2</v>
      </c>
    </row>
    <row r="124" spans="3:36" x14ac:dyDescent="0.25">
      <c r="C124">
        <v>43</v>
      </c>
      <c r="F124">
        <f t="shared" ref="F124:AD124" si="46">F30/SUM(F$6:F$96)</f>
        <v>1.9328541374474054E-2</v>
      </c>
      <c r="G124">
        <f t="shared" si="46"/>
        <v>1.7741237559498052E-2</v>
      </c>
      <c r="H124">
        <f t="shared" si="46"/>
        <v>1.852958756724447E-2</v>
      </c>
      <c r="I124">
        <f t="shared" si="46"/>
        <v>1.9605363015431317E-2</v>
      </c>
      <c r="J124">
        <f t="shared" si="46"/>
        <v>1.8209850820901742E-2</v>
      </c>
      <c r="K124">
        <f t="shared" si="46"/>
        <v>1.8845410031683333E-2</v>
      </c>
      <c r="L124">
        <f t="shared" si="46"/>
        <v>1.7263140751598061E-2</v>
      </c>
      <c r="M124">
        <f t="shared" si="46"/>
        <v>1.8539416411413833E-2</v>
      </c>
      <c r="N124">
        <f t="shared" si="46"/>
        <v>1.8006867364050147E-2</v>
      </c>
      <c r="O124">
        <f t="shared" si="46"/>
        <v>1.8440838939453898E-2</v>
      </c>
      <c r="P124">
        <f t="shared" si="46"/>
        <v>1.7761919698870764E-2</v>
      </c>
      <c r="Q124">
        <f t="shared" si="46"/>
        <v>1.8029219769972023E-2</v>
      </c>
      <c r="R124">
        <f t="shared" si="46"/>
        <v>1.8181818181818181E-2</v>
      </c>
      <c r="S124">
        <f t="shared" si="46"/>
        <v>1.8227673965378884E-2</v>
      </c>
      <c r="T124">
        <f t="shared" si="46"/>
        <v>1.9848484848484848E-2</v>
      </c>
      <c r="U124">
        <f t="shared" si="46"/>
        <v>2.0931193867197776E-2</v>
      </c>
      <c r="V124">
        <f t="shared" si="46"/>
        <v>2.0328993994554068E-2</v>
      </c>
      <c r="W124">
        <f t="shared" si="46"/>
        <v>2.22246916324036E-2</v>
      </c>
      <c r="X124">
        <f t="shared" si="46"/>
        <v>2.0336115912183282E-2</v>
      </c>
      <c r="Y124">
        <f t="shared" si="46"/>
        <v>2.0175438596491228E-2</v>
      </c>
      <c r="Z124">
        <f t="shared" si="46"/>
        <v>2.0818951422446681E-2</v>
      </c>
      <c r="AA124">
        <f t="shared" si="46"/>
        <v>2.0302734727791625E-2</v>
      </c>
      <c r="AB124">
        <f t="shared" si="46"/>
        <v>2.0599250936329586E-2</v>
      </c>
      <c r="AC124">
        <f t="shared" si="46"/>
        <v>2.157964427584726E-2</v>
      </c>
      <c r="AD124">
        <f t="shared" si="46"/>
        <v>6.5873807149978633E-3</v>
      </c>
      <c r="AE124">
        <f t="shared" ref="AE124" si="47">AE30/SUM(AE$6:AE$96)</f>
        <v>5.8638443935926775E-3</v>
      </c>
      <c r="AF124">
        <f>SUM(AE120:AE124)</f>
        <v>2.9140446224256288E-2</v>
      </c>
      <c r="AH124">
        <v>1.6049585419916263E-2</v>
      </c>
      <c r="AI124">
        <v>8.1150972826533121E-2</v>
      </c>
      <c r="AJ124">
        <v>8.8608374384236493E-2</v>
      </c>
    </row>
    <row r="125" spans="3:36" x14ac:dyDescent="0.25">
      <c r="C125">
        <v>44</v>
      </c>
      <c r="F125">
        <f t="shared" ref="F125:AD125" si="48">F31/SUM(F$6:F$96)</f>
        <v>1.7531556802244039E-2</v>
      </c>
      <c r="G125">
        <f t="shared" si="48"/>
        <v>1.9428818693206402E-2</v>
      </c>
      <c r="H125">
        <f t="shared" si="48"/>
        <v>1.7846469131585687E-2</v>
      </c>
      <c r="I125">
        <f t="shared" si="48"/>
        <v>1.8551311240408128E-2</v>
      </c>
      <c r="J125">
        <f t="shared" si="48"/>
        <v>1.9584965413784482E-2</v>
      </c>
      <c r="K125">
        <f t="shared" si="48"/>
        <v>1.8187055096078673E-2</v>
      </c>
      <c r="L125">
        <f t="shared" si="48"/>
        <v>1.9013883799519564E-2</v>
      </c>
      <c r="M125">
        <f t="shared" si="48"/>
        <v>1.7330324036756408E-2</v>
      </c>
      <c r="N125">
        <f t="shared" si="48"/>
        <v>1.860576539167931E-2</v>
      </c>
      <c r="O125">
        <f t="shared" si="48"/>
        <v>1.8124258013454689E-2</v>
      </c>
      <c r="P125">
        <f t="shared" si="48"/>
        <v>1.8506900878293601E-2</v>
      </c>
      <c r="Q125">
        <f t="shared" si="48"/>
        <v>1.7718371153248369E-2</v>
      </c>
      <c r="R125">
        <f t="shared" si="48"/>
        <v>1.8143297380585517E-2</v>
      </c>
      <c r="S125">
        <f t="shared" si="48"/>
        <v>1.815124765944438E-2</v>
      </c>
      <c r="T125">
        <f t="shared" si="48"/>
        <v>1.8371212121212122E-2</v>
      </c>
      <c r="U125">
        <f t="shared" si="48"/>
        <v>1.984141896208335E-2</v>
      </c>
      <c r="V125">
        <f t="shared" si="48"/>
        <v>2.0925808497146481E-2</v>
      </c>
      <c r="W125">
        <f t="shared" si="48"/>
        <v>2.0187428232766605E-2</v>
      </c>
      <c r="X125">
        <f t="shared" si="48"/>
        <v>2.2211598573162211E-2</v>
      </c>
      <c r="Y125">
        <f t="shared" si="48"/>
        <v>2.0723684210526314E-2</v>
      </c>
      <c r="Z125">
        <f t="shared" si="48"/>
        <v>2.0237619445554626E-2</v>
      </c>
      <c r="AA125">
        <f t="shared" si="48"/>
        <v>2.0808496802861169E-2</v>
      </c>
      <c r="AB125">
        <f t="shared" si="48"/>
        <v>2.0347162201094785E-2</v>
      </c>
      <c r="AC125">
        <f t="shared" si="48"/>
        <v>2.0720752961385678E-2</v>
      </c>
      <c r="AD125">
        <f t="shared" si="48"/>
        <v>2.1578122774533543E-2</v>
      </c>
      <c r="AE125">
        <f t="shared" ref="AE125" si="49">AE31/SUM(AE$6:AE$96)</f>
        <v>6.8292334096109837E-3</v>
      </c>
      <c r="AH125">
        <v>1.8060914539036205E-2</v>
      </c>
    </row>
    <row r="126" spans="3:36" x14ac:dyDescent="0.25">
      <c r="C126">
        <v>45</v>
      </c>
      <c r="F126">
        <f t="shared" ref="F126:AD126" si="50">F32/SUM(F$6:F$96)</f>
        <v>1.9416199158485272E-2</v>
      </c>
      <c r="G126">
        <f t="shared" si="50"/>
        <v>1.7611423626135873E-2</v>
      </c>
      <c r="H126">
        <f t="shared" si="50"/>
        <v>1.9725044829647341E-2</v>
      </c>
      <c r="I126">
        <f t="shared" si="50"/>
        <v>1.8214014672400709E-2</v>
      </c>
      <c r="J126">
        <f t="shared" si="50"/>
        <v>1.8668222351862655E-2</v>
      </c>
      <c r="K126">
        <f t="shared" si="50"/>
        <v>1.9668353701189155E-2</v>
      </c>
      <c r="L126">
        <f t="shared" si="50"/>
        <v>1.8362444525874353E-2</v>
      </c>
      <c r="M126">
        <f t="shared" si="50"/>
        <v>1.9023053361276802E-2</v>
      </c>
      <c r="N126">
        <f t="shared" si="50"/>
        <v>1.7407969336420984E-2</v>
      </c>
      <c r="O126">
        <f t="shared" si="50"/>
        <v>1.8638702018203404E-2</v>
      </c>
      <c r="P126">
        <f t="shared" si="50"/>
        <v>1.8193224592220829E-2</v>
      </c>
      <c r="Q126">
        <f t="shared" si="50"/>
        <v>1.8650917003419334E-2</v>
      </c>
      <c r="R126">
        <f t="shared" si="50"/>
        <v>1.7758089368258859E-2</v>
      </c>
      <c r="S126">
        <f t="shared" si="50"/>
        <v>1.8265887118346136E-2</v>
      </c>
      <c r="T126">
        <f t="shared" si="50"/>
        <v>1.8181818181818181E-2</v>
      </c>
      <c r="U126">
        <f t="shared" si="50"/>
        <v>1.8638908721957087E-2</v>
      </c>
      <c r="V126">
        <f t="shared" si="50"/>
        <v>1.9881383117609758E-2</v>
      </c>
      <c r="W126">
        <f t="shared" si="50"/>
        <v>2.1076415898062747E-2</v>
      </c>
      <c r="X126">
        <f t="shared" si="50"/>
        <v>2.0593535100945096E-2</v>
      </c>
      <c r="Y126">
        <f t="shared" si="50"/>
        <v>2.2258771929824561E-2</v>
      </c>
      <c r="Z126">
        <f t="shared" si="50"/>
        <v>2.0818951422446681E-2</v>
      </c>
      <c r="AA126">
        <f t="shared" si="50"/>
        <v>2.0591741627831363E-2</v>
      </c>
      <c r="AB126">
        <f t="shared" si="50"/>
        <v>2.1103428406799192E-2</v>
      </c>
      <c r="AC126">
        <f t="shared" si="50"/>
        <v>2.0613391547077982E-2</v>
      </c>
      <c r="AD126">
        <f t="shared" si="50"/>
        <v>2.0794758581398662E-2</v>
      </c>
      <c r="AE126">
        <f t="shared" ref="AE126" si="51">AE32/SUM(AE$6:AE$96)</f>
        <v>2.198941647597254E-2</v>
      </c>
      <c r="AH126">
        <v>1.461292176340202E-2</v>
      </c>
    </row>
    <row r="127" spans="3:36" x14ac:dyDescent="0.25">
      <c r="C127">
        <v>46</v>
      </c>
      <c r="F127">
        <f t="shared" ref="F127:AD127" si="52">F33/SUM(F$6:F$96)</f>
        <v>2.0073632538569426E-2</v>
      </c>
      <c r="G127">
        <f t="shared" si="52"/>
        <v>1.9385547382085679E-2</v>
      </c>
      <c r="H127">
        <f t="shared" si="52"/>
        <v>1.7547604815984972E-2</v>
      </c>
      <c r="I127">
        <f t="shared" si="52"/>
        <v>1.9816173370435956E-2</v>
      </c>
      <c r="J127">
        <f t="shared" si="52"/>
        <v>1.8376531377614802E-2</v>
      </c>
      <c r="K127">
        <f t="shared" si="52"/>
        <v>1.8763115664732748E-2</v>
      </c>
      <c r="L127">
        <f t="shared" si="52"/>
        <v>1.9746752982370424E-2</v>
      </c>
      <c r="M127">
        <f t="shared" si="52"/>
        <v>1.8620022569724327E-2</v>
      </c>
      <c r="N127">
        <f t="shared" si="52"/>
        <v>1.9124810348957917E-2</v>
      </c>
      <c r="O127">
        <f t="shared" si="52"/>
        <v>1.772853185595568E-2</v>
      </c>
      <c r="P127">
        <f t="shared" si="52"/>
        <v>1.862452948557089E-2</v>
      </c>
      <c r="Q127">
        <f t="shared" si="52"/>
        <v>1.8301212309605221E-2</v>
      </c>
      <c r="R127">
        <f t="shared" si="52"/>
        <v>1.8913713405238827E-2</v>
      </c>
      <c r="S127">
        <f t="shared" si="52"/>
        <v>1.7807329282739121E-2</v>
      </c>
      <c r="T127">
        <f t="shared" si="52"/>
        <v>1.8295454545454545E-2</v>
      </c>
      <c r="U127">
        <f t="shared" si="52"/>
        <v>1.8263124271917629E-2</v>
      </c>
      <c r="V127">
        <f t="shared" si="52"/>
        <v>1.8836957738073035E-2</v>
      </c>
      <c r="W127">
        <f t="shared" si="52"/>
        <v>2.0039263621883914E-2</v>
      </c>
      <c r="X127">
        <f t="shared" si="52"/>
        <v>2.114514764829184E-2</v>
      </c>
      <c r="Y127">
        <f t="shared" si="52"/>
        <v>2.0869883040935674E-2</v>
      </c>
      <c r="Z127">
        <f t="shared" si="52"/>
        <v>2.2381281110344077E-2</v>
      </c>
      <c r="AA127">
        <f t="shared" si="52"/>
        <v>2.0736245077851233E-2</v>
      </c>
      <c r="AB127">
        <f t="shared" si="52"/>
        <v>2.0563238259867472E-2</v>
      </c>
      <c r="AC127">
        <f t="shared" si="52"/>
        <v>2.1150198618616469E-2</v>
      </c>
      <c r="AD127">
        <f t="shared" si="52"/>
        <v>2.0865973508047288E-2</v>
      </c>
      <c r="AE127">
        <f t="shared" ref="AE127" si="53">AE33/SUM(AE$6:AE$96)</f>
        <v>2.116704805491991E-2</v>
      </c>
      <c r="AH127">
        <v>1.6008537886872998E-2</v>
      </c>
    </row>
    <row r="128" spans="3:36" x14ac:dyDescent="0.25">
      <c r="C128">
        <v>47</v>
      </c>
      <c r="F128">
        <f t="shared" ref="F128:AD128" si="54">F34/SUM(F$6:F$96)</f>
        <v>1.9065568022440391E-2</v>
      </c>
      <c r="G128">
        <f t="shared" si="54"/>
        <v>2.0034617048896582E-2</v>
      </c>
      <c r="H128">
        <f t="shared" si="54"/>
        <v>1.9383485611817949E-2</v>
      </c>
      <c r="I128">
        <f t="shared" si="54"/>
        <v>1.7708069820389579E-2</v>
      </c>
      <c r="J128">
        <f t="shared" si="54"/>
        <v>1.9918326527210602E-2</v>
      </c>
      <c r="K128">
        <f t="shared" si="54"/>
        <v>1.843393819693042E-2</v>
      </c>
      <c r="L128">
        <f t="shared" si="54"/>
        <v>1.8973168844916739E-2</v>
      </c>
      <c r="M128">
        <f t="shared" si="54"/>
        <v>1.9748508786071255E-2</v>
      </c>
      <c r="N128">
        <f t="shared" si="54"/>
        <v>1.8685618462029863E-2</v>
      </c>
      <c r="O128">
        <f t="shared" si="54"/>
        <v>1.9192718638702019E-2</v>
      </c>
      <c r="P128">
        <f t="shared" si="54"/>
        <v>1.7957967377666247E-2</v>
      </c>
      <c r="Q128">
        <f t="shared" si="54"/>
        <v>1.8767485234690705E-2</v>
      </c>
      <c r="R128">
        <f t="shared" si="54"/>
        <v>1.8528505392912172E-2</v>
      </c>
      <c r="S128">
        <f t="shared" si="54"/>
        <v>1.9068363330658412E-2</v>
      </c>
      <c r="T128">
        <f t="shared" si="54"/>
        <v>1.7840909090909091E-2</v>
      </c>
      <c r="U128">
        <f t="shared" si="54"/>
        <v>1.8488594941941303E-2</v>
      </c>
      <c r="V128">
        <f t="shared" si="54"/>
        <v>1.8501249580364802E-2</v>
      </c>
      <c r="W128">
        <f t="shared" si="54"/>
        <v>1.8853946734822387E-2</v>
      </c>
      <c r="X128">
        <f t="shared" si="54"/>
        <v>2.0299341742360165E-2</v>
      </c>
      <c r="Y128">
        <f t="shared" si="54"/>
        <v>2.1089181286549706E-2</v>
      </c>
      <c r="Z128">
        <f t="shared" si="54"/>
        <v>2.0891617919558188E-2</v>
      </c>
      <c r="AA128">
        <f t="shared" si="54"/>
        <v>2.2578664065604565E-2</v>
      </c>
      <c r="AB128">
        <f t="shared" si="54"/>
        <v>2.099539037741285E-2</v>
      </c>
      <c r="AC128">
        <f t="shared" si="54"/>
        <v>2.0541817270872849E-2</v>
      </c>
      <c r="AD128">
        <f t="shared" si="54"/>
        <v>2.1400085457911978E-2</v>
      </c>
      <c r="AE128">
        <f t="shared" ref="AE128" si="55">AE34/SUM(AE$6:AE$96)</f>
        <v>2.1202803203661327E-2</v>
      </c>
      <c r="AH128">
        <v>1.6008537886872998E-2</v>
      </c>
    </row>
    <row r="129" spans="3:36" x14ac:dyDescent="0.25">
      <c r="C129">
        <v>48</v>
      </c>
      <c r="F129">
        <f t="shared" ref="F129:AD129" si="56">F35/SUM(F$6:F$96)</f>
        <v>1.9284712482468443E-2</v>
      </c>
      <c r="G129">
        <f t="shared" si="56"/>
        <v>1.9212462137602769E-2</v>
      </c>
      <c r="H129">
        <f t="shared" si="56"/>
        <v>2.0194688754162752E-2</v>
      </c>
      <c r="I129">
        <f t="shared" si="56"/>
        <v>1.9521038873429462E-2</v>
      </c>
      <c r="J129">
        <f t="shared" si="56"/>
        <v>1.7834819568297359E-2</v>
      </c>
      <c r="K129">
        <f t="shared" si="56"/>
        <v>1.9956383985516191E-2</v>
      </c>
      <c r="L129">
        <f t="shared" si="56"/>
        <v>1.8566019298888483E-2</v>
      </c>
      <c r="M129">
        <f t="shared" si="56"/>
        <v>1.9264871836208286E-2</v>
      </c>
      <c r="N129">
        <f t="shared" si="56"/>
        <v>1.9803561446937634E-2</v>
      </c>
      <c r="O129">
        <f t="shared" si="56"/>
        <v>1.8876137712702811E-2</v>
      </c>
      <c r="P129">
        <f t="shared" si="56"/>
        <v>1.9330301129234631E-2</v>
      </c>
      <c r="Q129">
        <f t="shared" si="56"/>
        <v>1.8029219769972023E-2</v>
      </c>
      <c r="R129">
        <f t="shared" si="56"/>
        <v>1.8990755007704162E-2</v>
      </c>
      <c r="S129">
        <f t="shared" si="56"/>
        <v>1.8953723871756659E-2</v>
      </c>
      <c r="T129">
        <f t="shared" si="56"/>
        <v>1.9090909090909092E-2</v>
      </c>
      <c r="U129">
        <f t="shared" si="56"/>
        <v>1.8187967381909736E-2</v>
      </c>
      <c r="V129">
        <f t="shared" si="56"/>
        <v>1.8687754112424931E-2</v>
      </c>
      <c r="W129">
        <f t="shared" si="56"/>
        <v>1.8779864429381041E-2</v>
      </c>
      <c r="X129">
        <f t="shared" si="56"/>
        <v>1.8865149119258632E-2</v>
      </c>
      <c r="Y129">
        <f t="shared" si="56"/>
        <v>2.06140350877193E-2</v>
      </c>
      <c r="Z129">
        <f t="shared" si="56"/>
        <v>2.1291283653671476E-2</v>
      </c>
      <c r="AA129">
        <f t="shared" si="56"/>
        <v>2.0953000252881038E-2</v>
      </c>
      <c r="AB129">
        <f t="shared" si="56"/>
        <v>2.2796024200518582E-2</v>
      </c>
      <c r="AC129">
        <f t="shared" si="56"/>
        <v>2.1078624342411336E-2</v>
      </c>
      <c r="AD129">
        <f t="shared" si="56"/>
        <v>2.0616721264777097E-2</v>
      </c>
      <c r="AE129">
        <f t="shared" ref="AE129" si="57">AE35/SUM(AE$6:AE$96)</f>
        <v>2.1596109839816933E-2</v>
      </c>
      <c r="AF129">
        <f>SUM(AE125:AE129)</f>
        <v>9.2784610983981691E-2</v>
      </c>
      <c r="AH129">
        <v>1.5762252688613414E-2</v>
      </c>
      <c r="AI129">
        <v>8.0453164764797636E-2</v>
      </c>
      <c r="AJ129">
        <v>8.4178725369458099E-2</v>
      </c>
    </row>
    <row r="130" spans="3:36" x14ac:dyDescent="0.25">
      <c r="C130">
        <v>49</v>
      </c>
      <c r="F130">
        <f t="shared" ref="F130:AD130" si="58">F36/SUM(F$6:F$96)</f>
        <v>1.9503856942496494E-2</v>
      </c>
      <c r="G130">
        <f t="shared" si="58"/>
        <v>1.9255733448723496E-2</v>
      </c>
      <c r="H130">
        <f t="shared" si="58"/>
        <v>1.9212706002903254E-2</v>
      </c>
      <c r="I130">
        <f t="shared" si="58"/>
        <v>2.0364280293448014E-2</v>
      </c>
      <c r="J130">
        <f t="shared" si="58"/>
        <v>1.9876656388032335E-2</v>
      </c>
      <c r="K130">
        <f t="shared" si="58"/>
        <v>1.8022466362177508E-2</v>
      </c>
      <c r="L130">
        <f t="shared" si="58"/>
        <v>2.0072472619193031E-2</v>
      </c>
      <c r="M130">
        <f t="shared" si="58"/>
        <v>1.8821537965500564E-2</v>
      </c>
      <c r="N130">
        <f t="shared" si="58"/>
        <v>1.9204663419308474E-2</v>
      </c>
      <c r="O130">
        <f t="shared" si="58"/>
        <v>1.9865453106450336E-2</v>
      </c>
      <c r="P130">
        <f t="shared" si="58"/>
        <v>1.8820577164366373E-2</v>
      </c>
      <c r="Q130">
        <f t="shared" si="58"/>
        <v>1.9389182468138016E-2</v>
      </c>
      <c r="R130">
        <f t="shared" si="58"/>
        <v>1.8220338983050848E-2</v>
      </c>
      <c r="S130">
        <f t="shared" si="58"/>
        <v>1.9030150177691163E-2</v>
      </c>
      <c r="T130">
        <f t="shared" si="58"/>
        <v>1.893939393939394E-2</v>
      </c>
      <c r="U130">
        <f t="shared" si="58"/>
        <v>1.9014693171996541E-2</v>
      </c>
      <c r="V130">
        <f t="shared" si="58"/>
        <v>1.8128240516244544E-2</v>
      </c>
      <c r="W130">
        <f t="shared" si="58"/>
        <v>1.8853946734822387E-2</v>
      </c>
      <c r="X130">
        <f t="shared" si="58"/>
        <v>1.9049019968374215E-2</v>
      </c>
      <c r="Y130">
        <f t="shared" si="58"/>
        <v>1.8969298245614035E-2</v>
      </c>
      <c r="Z130">
        <f t="shared" si="58"/>
        <v>2.0782618173890929E-2</v>
      </c>
      <c r="AA130">
        <f t="shared" si="58"/>
        <v>2.1494888190455547E-2</v>
      </c>
      <c r="AB130">
        <f t="shared" si="58"/>
        <v>2.1175453759723423E-2</v>
      </c>
      <c r="AC130">
        <f t="shared" si="58"/>
        <v>2.29037683856422E-2</v>
      </c>
      <c r="AD130">
        <f t="shared" si="58"/>
        <v>2.1257655604614727E-2</v>
      </c>
      <c r="AE130">
        <f t="shared" ref="AE130" si="59">AE36/SUM(AE$6:AE$96)</f>
        <v>2.0773741418764303E-2</v>
      </c>
      <c r="AH130">
        <v>1.6624250882521962E-2</v>
      </c>
    </row>
    <row r="131" spans="3:36" x14ac:dyDescent="0.25">
      <c r="C131">
        <v>50</v>
      </c>
      <c r="F131">
        <f t="shared" ref="F131:AD131" si="60">F37/SUM(F$6:F$96)</f>
        <v>1.9197054698457224E-2</v>
      </c>
      <c r="G131">
        <f t="shared" si="60"/>
        <v>1.9601903937689312E-2</v>
      </c>
      <c r="H131">
        <f t="shared" si="60"/>
        <v>1.9340790709589276E-2</v>
      </c>
      <c r="I131">
        <f t="shared" si="60"/>
        <v>1.9268066447423897E-2</v>
      </c>
      <c r="J131">
        <f t="shared" si="60"/>
        <v>2.0251687640636718E-2</v>
      </c>
      <c r="K131">
        <f t="shared" si="60"/>
        <v>2.0038678352466775E-2</v>
      </c>
      <c r="L131">
        <f t="shared" si="60"/>
        <v>1.8077439843654574E-2</v>
      </c>
      <c r="M131">
        <f t="shared" si="60"/>
        <v>2.0030630340157989E-2</v>
      </c>
      <c r="N131">
        <f t="shared" si="60"/>
        <v>1.9044957278607364E-2</v>
      </c>
      <c r="O131">
        <f t="shared" si="60"/>
        <v>1.9351009101701622E-2</v>
      </c>
      <c r="P131">
        <f t="shared" si="60"/>
        <v>1.9800815558343791E-2</v>
      </c>
      <c r="Q131">
        <f t="shared" si="60"/>
        <v>1.8961765620142991E-2</v>
      </c>
      <c r="R131">
        <f t="shared" si="60"/>
        <v>1.9375963020030817E-2</v>
      </c>
      <c r="S131">
        <f t="shared" si="60"/>
        <v>1.8304100271313385E-2</v>
      </c>
      <c r="T131">
        <f t="shared" si="60"/>
        <v>1.8977272727272728E-2</v>
      </c>
      <c r="U131">
        <f t="shared" si="60"/>
        <v>1.8977114726992598E-2</v>
      </c>
      <c r="V131">
        <f t="shared" si="60"/>
        <v>1.9135364989369241E-2</v>
      </c>
      <c r="W131">
        <f t="shared" si="60"/>
        <v>1.8113123680408936E-2</v>
      </c>
      <c r="X131">
        <f t="shared" si="60"/>
        <v>1.8901923289081749E-2</v>
      </c>
      <c r="Y131">
        <f t="shared" si="60"/>
        <v>1.9188596491228071E-2</v>
      </c>
      <c r="Z131">
        <f t="shared" si="60"/>
        <v>1.9401954728772298E-2</v>
      </c>
      <c r="AA131">
        <f t="shared" si="60"/>
        <v>2.0844622665366137E-2</v>
      </c>
      <c r="AB131">
        <f t="shared" si="60"/>
        <v>2.1895707288965716E-2</v>
      </c>
      <c r="AC131">
        <f t="shared" si="60"/>
        <v>2.1185985756719036E-2</v>
      </c>
      <c r="AD131">
        <f t="shared" si="60"/>
        <v>2.3038028770830367E-2</v>
      </c>
      <c r="AE131">
        <f t="shared" ref="AE131" si="61">AE37/SUM(AE$6:AE$96)</f>
        <v>2.1882151029748283E-2</v>
      </c>
      <c r="AH131">
        <v>1.6419013217305638E-2</v>
      </c>
    </row>
    <row r="132" spans="3:36" x14ac:dyDescent="0.25">
      <c r="C132">
        <v>51</v>
      </c>
      <c r="F132">
        <f t="shared" ref="F132:AD132" si="62">F38/SUM(F$6:F$96)</f>
        <v>1.9021739130434784E-2</v>
      </c>
      <c r="G132">
        <f t="shared" si="62"/>
        <v>1.9212462137602769E-2</v>
      </c>
      <c r="H132">
        <f t="shared" si="62"/>
        <v>1.9468875416275296E-2</v>
      </c>
      <c r="I132">
        <f t="shared" si="62"/>
        <v>1.9352390589425752E-2</v>
      </c>
      <c r="J132">
        <f t="shared" si="62"/>
        <v>1.9334944578714892E-2</v>
      </c>
      <c r="K132">
        <f t="shared" si="62"/>
        <v>2.024441426984323E-2</v>
      </c>
      <c r="L132">
        <f t="shared" si="62"/>
        <v>2.0276047392207158E-2</v>
      </c>
      <c r="M132">
        <f t="shared" si="62"/>
        <v>1.8055779461550861E-2</v>
      </c>
      <c r="N132">
        <f t="shared" si="62"/>
        <v>2.0162900263515131E-2</v>
      </c>
      <c r="O132">
        <f t="shared" si="62"/>
        <v>1.9153146022952119E-2</v>
      </c>
      <c r="P132">
        <f t="shared" si="62"/>
        <v>1.9526348808030114E-2</v>
      </c>
      <c r="Q132">
        <f t="shared" si="62"/>
        <v>1.98554553932235E-2</v>
      </c>
      <c r="R132">
        <f t="shared" si="62"/>
        <v>1.9106317411402157E-2</v>
      </c>
      <c r="S132">
        <f t="shared" si="62"/>
        <v>1.9450494860330927E-2</v>
      </c>
      <c r="T132">
        <f t="shared" si="62"/>
        <v>1.8560606060606062E-2</v>
      </c>
      <c r="U132">
        <f t="shared" si="62"/>
        <v>1.9127428507008382E-2</v>
      </c>
      <c r="V132">
        <f t="shared" si="62"/>
        <v>1.9098064082957215E-2</v>
      </c>
      <c r="W132">
        <f t="shared" si="62"/>
        <v>1.9261399414749789E-2</v>
      </c>
      <c r="X132">
        <f t="shared" si="62"/>
        <v>1.849740742102747E-2</v>
      </c>
      <c r="Y132">
        <f t="shared" si="62"/>
        <v>1.9042397660818715E-2</v>
      </c>
      <c r="Z132">
        <f t="shared" si="62"/>
        <v>1.9329288231660791E-2</v>
      </c>
      <c r="AA132">
        <f t="shared" si="62"/>
        <v>1.9544091615187314E-2</v>
      </c>
      <c r="AB132">
        <f t="shared" si="62"/>
        <v>2.0959377700950736E-2</v>
      </c>
      <c r="AC132">
        <f t="shared" si="62"/>
        <v>2.1973302794975485E-2</v>
      </c>
      <c r="AD132">
        <f t="shared" si="62"/>
        <v>2.154251531120923E-2</v>
      </c>
      <c r="AE132">
        <f t="shared" ref="AE132" si="63">AE38/SUM(AE$6:AE$96)</f>
        <v>2.3205091533180778E-2</v>
      </c>
      <c r="AH132">
        <v>1.6172728019046054E-2</v>
      </c>
    </row>
    <row r="133" spans="3:36" x14ac:dyDescent="0.25">
      <c r="C133">
        <v>52</v>
      </c>
      <c r="F133">
        <f t="shared" ref="F133:AD133" si="64">F39/SUM(F$6:F$96)</f>
        <v>1.9810659186535764E-2</v>
      </c>
      <c r="G133">
        <f t="shared" si="64"/>
        <v>1.9255733448723496E-2</v>
      </c>
      <c r="H133">
        <f t="shared" si="64"/>
        <v>1.9212706002903254E-2</v>
      </c>
      <c r="I133">
        <f t="shared" si="64"/>
        <v>1.9689687157433172E-2</v>
      </c>
      <c r="J133">
        <f t="shared" si="64"/>
        <v>1.9501625135427952E-2</v>
      </c>
      <c r="K133">
        <f t="shared" si="64"/>
        <v>1.9421470600337408E-2</v>
      </c>
      <c r="L133">
        <f t="shared" si="64"/>
        <v>2.0072472619193031E-2</v>
      </c>
      <c r="M133">
        <f t="shared" si="64"/>
        <v>2.0514267290020958E-2</v>
      </c>
      <c r="N133">
        <f t="shared" si="64"/>
        <v>1.8246426575101813E-2</v>
      </c>
      <c r="O133">
        <f t="shared" si="64"/>
        <v>2.0538187574198653E-2</v>
      </c>
      <c r="P133">
        <f t="shared" si="64"/>
        <v>1.9173462986198243E-2</v>
      </c>
      <c r="Q133">
        <f t="shared" si="64"/>
        <v>1.9661175007771214E-2</v>
      </c>
      <c r="R133">
        <f t="shared" si="64"/>
        <v>1.9761171032357472E-2</v>
      </c>
      <c r="S133">
        <f t="shared" si="64"/>
        <v>1.9144789636592916E-2</v>
      </c>
      <c r="T133">
        <f t="shared" si="64"/>
        <v>1.9583333333333335E-2</v>
      </c>
      <c r="U133">
        <f t="shared" si="64"/>
        <v>1.8563751831949193E-2</v>
      </c>
      <c r="V133">
        <f t="shared" si="64"/>
        <v>1.9247267708605319E-2</v>
      </c>
      <c r="W133">
        <f t="shared" si="64"/>
        <v>1.9076193651146423E-2</v>
      </c>
      <c r="X133">
        <f t="shared" si="64"/>
        <v>1.9343213326959145E-2</v>
      </c>
      <c r="Y133">
        <f t="shared" si="64"/>
        <v>1.8494152046783625E-2</v>
      </c>
      <c r="Z133">
        <f t="shared" si="64"/>
        <v>1.9220288485993532E-2</v>
      </c>
      <c r="AA133">
        <f t="shared" si="64"/>
        <v>1.9435714027672409E-2</v>
      </c>
      <c r="AB133">
        <f t="shared" si="64"/>
        <v>1.9554883318928264E-2</v>
      </c>
      <c r="AC133">
        <f t="shared" si="64"/>
        <v>2.1042837204308773E-2</v>
      </c>
      <c r="AD133">
        <f t="shared" si="64"/>
        <v>2.2076627261073921E-2</v>
      </c>
      <c r="AE133">
        <f t="shared" ref="AE133" si="65">AE39/SUM(AE$6:AE$96)</f>
        <v>2.1739130434782608E-2</v>
      </c>
      <c r="AH133">
        <v>1.4777111895575077E-2</v>
      </c>
    </row>
    <row r="134" spans="3:36" x14ac:dyDescent="0.25">
      <c r="C134">
        <v>53</v>
      </c>
      <c r="F134">
        <f t="shared" ref="F134:AD134" si="66">F40/SUM(F$6:F$96)</f>
        <v>1.8802594670406732E-2</v>
      </c>
      <c r="G134">
        <f t="shared" si="66"/>
        <v>1.9818260493292945E-2</v>
      </c>
      <c r="H134">
        <f t="shared" si="66"/>
        <v>1.917001110067458E-2</v>
      </c>
      <c r="I134">
        <f t="shared" si="66"/>
        <v>1.9141580234421116E-2</v>
      </c>
      <c r="J134">
        <f t="shared" si="66"/>
        <v>1.9918326527210602E-2</v>
      </c>
      <c r="K134">
        <f t="shared" si="66"/>
        <v>1.9380323416862116E-2</v>
      </c>
      <c r="L134">
        <f t="shared" si="66"/>
        <v>1.9380318390944996E-2</v>
      </c>
      <c r="M134">
        <f t="shared" si="66"/>
        <v>1.9990327261002739E-2</v>
      </c>
      <c r="N134">
        <f t="shared" si="66"/>
        <v>2.0681945220793741E-2</v>
      </c>
      <c r="O134">
        <f t="shared" si="66"/>
        <v>1.8440838939453898E-2</v>
      </c>
      <c r="P134">
        <f t="shared" si="66"/>
        <v>2.0428168130489335E-2</v>
      </c>
      <c r="Q134">
        <f t="shared" si="66"/>
        <v>1.935032639104756E-2</v>
      </c>
      <c r="R134">
        <f t="shared" si="66"/>
        <v>1.9568567026194146E-2</v>
      </c>
      <c r="S134">
        <f t="shared" si="66"/>
        <v>1.9717986931101685E-2</v>
      </c>
      <c r="T134">
        <f t="shared" si="66"/>
        <v>1.9128787878787877E-2</v>
      </c>
      <c r="U134">
        <f t="shared" si="66"/>
        <v>1.9803840517079403E-2</v>
      </c>
      <c r="V134">
        <f t="shared" si="66"/>
        <v>1.8725055018836957E-2</v>
      </c>
      <c r="W134">
        <f t="shared" si="66"/>
        <v>1.9520687483794496E-2</v>
      </c>
      <c r="X134">
        <f t="shared" si="66"/>
        <v>1.9159342477843563E-2</v>
      </c>
      <c r="Y134">
        <f t="shared" si="66"/>
        <v>1.9480994152046783E-2</v>
      </c>
      <c r="Z134">
        <f t="shared" si="66"/>
        <v>1.8638956509101478E-2</v>
      </c>
      <c r="AA134">
        <f t="shared" si="66"/>
        <v>1.9110581265127706E-2</v>
      </c>
      <c r="AB134">
        <f t="shared" si="66"/>
        <v>1.9554883318928264E-2</v>
      </c>
      <c r="AC134">
        <f t="shared" si="66"/>
        <v>1.9718713094513833E-2</v>
      </c>
      <c r="AD134">
        <f t="shared" si="66"/>
        <v>2.129326306793904E-2</v>
      </c>
      <c r="AE134">
        <f t="shared" ref="AE134" si="67">AE40/SUM(AE$6:AE$96)</f>
        <v>2.2454233409610985E-2</v>
      </c>
      <c r="AF134">
        <f>SUM(AE130:AE134)</f>
        <v>0.11005434782608696</v>
      </c>
      <c r="AH134">
        <v>1.5721205155570149E-2</v>
      </c>
      <c r="AI134">
        <v>7.9714309170018871E-2</v>
      </c>
      <c r="AJ134">
        <v>7.8313577586206898E-2</v>
      </c>
    </row>
    <row r="135" spans="3:36" x14ac:dyDescent="0.25">
      <c r="C135">
        <v>54</v>
      </c>
      <c r="F135">
        <f t="shared" ref="F135:AD135" si="68">F41/SUM(F$6:F$96)</f>
        <v>1.7794530154277701E-2</v>
      </c>
      <c r="G135">
        <f t="shared" si="68"/>
        <v>1.864993509303332E-2</v>
      </c>
      <c r="H135">
        <f t="shared" si="68"/>
        <v>1.9596960122961318E-2</v>
      </c>
      <c r="I135">
        <f t="shared" si="68"/>
        <v>1.9310228518424826E-2</v>
      </c>
      <c r="J135">
        <f t="shared" si="68"/>
        <v>1.9334944578714892E-2</v>
      </c>
      <c r="K135">
        <f t="shared" si="68"/>
        <v>2.024441426984323E-2</v>
      </c>
      <c r="L135">
        <f t="shared" si="68"/>
        <v>1.9624608118561947E-2</v>
      </c>
      <c r="M135">
        <f t="shared" si="68"/>
        <v>1.950669031113977E-2</v>
      </c>
      <c r="N135">
        <f t="shared" si="68"/>
        <v>1.9963267587638743E-2</v>
      </c>
      <c r="O135">
        <f t="shared" si="68"/>
        <v>2.0854768500197862E-2</v>
      </c>
      <c r="P135">
        <f t="shared" si="68"/>
        <v>1.8428481806775407E-2</v>
      </c>
      <c r="Q135">
        <f t="shared" si="68"/>
        <v>2.0671433012123097E-2</v>
      </c>
      <c r="R135">
        <f t="shared" si="68"/>
        <v>1.9491525423728815E-2</v>
      </c>
      <c r="S135">
        <f t="shared" si="68"/>
        <v>1.9832626390003438E-2</v>
      </c>
      <c r="T135">
        <f t="shared" si="68"/>
        <v>2.0113636363636365E-2</v>
      </c>
      <c r="U135">
        <f t="shared" si="68"/>
        <v>1.9127428507008382E-2</v>
      </c>
      <c r="V135">
        <f t="shared" si="68"/>
        <v>1.976948039837368E-2</v>
      </c>
      <c r="W135">
        <f t="shared" si="68"/>
        <v>1.8853946734822387E-2</v>
      </c>
      <c r="X135">
        <f t="shared" si="68"/>
        <v>1.9490310006251607E-2</v>
      </c>
      <c r="Y135">
        <f t="shared" si="68"/>
        <v>1.9188596491228071E-2</v>
      </c>
      <c r="Z135">
        <f t="shared" si="68"/>
        <v>1.9801620462885586E-2</v>
      </c>
      <c r="AA135">
        <f t="shared" si="68"/>
        <v>1.8785448502582999E-2</v>
      </c>
      <c r="AB135">
        <f t="shared" si="68"/>
        <v>1.9194756554307114E-2</v>
      </c>
      <c r="AC135">
        <f t="shared" si="68"/>
        <v>1.9826074508821529E-2</v>
      </c>
      <c r="AD135">
        <f t="shared" si="68"/>
        <v>1.9655319755020651E-2</v>
      </c>
      <c r="AE135">
        <f t="shared" ref="AE135" si="69">AE41/SUM(AE$6:AE$96)</f>
        <v>2.1488844393592676E-2</v>
      </c>
      <c r="AH135">
        <v>1.6419013217305638E-2</v>
      </c>
    </row>
    <row r="136" spans="3:36" x14ac:dyDescent="0.25">
      <c r="C136">
        <v>55</v>
      </c>
      <c r="F136">
        <f t="shared" ref="F136:AD136" si="70">F42/SUM(F$6:F$96)</f>
        <v>1.8013674614305749E-2</v>
      </c>
      <c r="G136">
        <f t="shared" si="70"/>
        <v>1.7827780181739507E-2</v>
      </c>
      <c r="H136">
        <f t="shared" si="70"/>
        <v>1.8785756980616516E-2</v>
      </c>
      <c r="I136">
        <f t="shared" si="70"/>
        <v>1.9605363015431317E-2</v>
      </c>
      <c r="J136">
        <f t="shared" si="70"/>
        <v>1.9459954996249688E-2</v>
      </c>
      <c r="K136">
        <f t="shared" si="70"/>
        <v>1.9339176233386823E-2</v>
      </c>
      <c r="L136">
        <f t="shared" si="70"/>
        <v>2.015390252839868E-2</v>
      </c>
      <c r="M136">
        <f t="shared" si="70"/>
        <v>1.9667902627760761E-2</v>
      </c>
      <c r="N136">
        <f t="shared" si="70"/>
        <v>1.9484149165535414E-2</v>
      </c>
      <c r="O136">
        <f t="shared" si="70"/>
        <v>1.9984170953700038E-2</v>
      </c>
      <c r="P136">
        <f t="shared" si="70"/>
        <v>2.1016311166875783E-2</v>
      </c>
      <c r="Q136">
        <f t="shared" si="70"/>
        <v>1.8612060926328878E-2</v>
      </c>
      <c r="R136">
        <f t="shared" si="70"/>
        <v>2.0762711864406778E-2</v>
      </c>
      <c r="S136">
        <f t="shared" si="70"/>
        <v>1.9335855401429174E-2</v>
      </c>
      <c r="T136">
        <f t="shared" si="70"/>
        <v>1.9848484848484848E-2</v>
      </c>
      <c r="U136">
        <f t="shared" si="70"/>
        <v>1.991657585209124E-2</v>
      </c>
      <c r="V136">
        <f t="shared" si="70"/>
        <v>1.9172665895781267E-2</v>
      </c>
      <c r="W136">
        <f t="shared" si="70"/>
        <v>1.9965181316442569E-2</v>
      </c>
      <c r="X136">
        <f t="shared" si="70"/>
        <v>1.8901923289081749E-2</v>
      </c>
      <c r="Y136">
        <f t="shared" si="70"/>
        <v>1.9700292397660819E-2</v>
      </c>
      <c r="Z136">
        <f t="shared" si="70"/>
        <v>1.918395523743778E-2</v>
      </c>
      <c r="AA136">
        <f t="shared" si="70"/>
        <v>1.9977601965246922E-2</v>
      </c>
      <c r="AB136">
        <f t="shared" si="70"/>
        <v>1.8978680495534427E-2</v>
      </c>
      <c r="AC136">
        <f t="shared" si="70"/>
        <v>1.9360841713488171E-2</v>
      </c>
      <c r="AD136">
        <f t="shared" si="70"/>
        <v>1.9904571998290842E-2</v>
      </c>
      <c r="AE136">
        <f t="shared" ref="AE136" si="71">AE42/SUM(AE$6:AE$96)</f>
        <v>1.9987128146453089E-2</v>
      </c>
      <c r="AH136">
        <v>1.4489779164272227E-2</v>
      </c>
    </row>
    <row r="137" spans="3:36" x14ac:dyDescent="0.25">
      <c r="C137">
        <v>56</v>
      </c>
      <c r="F137">
        <f t="shared" ref="F137:AD137" si="72">F43/SUM(F$6:F$96)</f>
        <v>1.6742636746143059E-2</v>
      </c>
      <c r="G137">
        <f t="shared" si="72"/>
        <v>1.8130679359584595E-2</v>
      </c>
      <c r="H137">
        <f t="shared" si="72"/>
        <v>1.7846469131585687E-2</v>
      </c>
      <c r="I137">
        <f t="shared" si="72"/>
        <v>1.8593473311409058E-2</v>
      </c>
      <c r="J137">
        <f t="shared" si="72"/>
        <v>1.9543295274606218E-2</v>
      </c>
      <c r="K137">
        <f t="shared" si="72"/>
        <v>1.9298029049911535E-2</v>
      </c>
      <c r="L137">
        <f t="shared" si="72"/>
        <v>1.942103334554782E-2</v>
      </c>
      <c r="M137">
        <f t="shared" si="72"/>
        <v>2.0111236498468483E-2</v>
      </c>
      <c r="N137">
        <f t="shared" si="72"/>
        <v>1.9643855306236524E-2</v>
      </c>
      <c r="O137">
        <f t="shared" si="72"/>
        <v>1.9509299564701228E-2</v>
      </c>
      <c r="P137">
        <f t="shared" si="72"/>
        <v>2.0036072772898369E-2</v>
      </c>
      <c r="Q137">
        <f t="shared" si="72"/>
        <v>2.0904569474665839E-2</v>
      </c>
      <c r="R137">
        <f t="shared" si="72"/>
        <v>1.8489984591679508E-2</v>
      </c>
      <c r="S137">
        <f t="shared" si="72"/>
        <v>2.0940807826053728E-2</v>
      </c>
      <c r="T137">
        <f t="shared" si="72"/>
        <v>1.9318181818181818E-2</v>
      </c>
      <c r="U137">
        <f t="shared" si="72"/>
        <v>1.9653526737063619E-2</v>
      </c>
      <c r="V137">
        <f t="shared" si="72"/>
        <v>1.9918684024021784E-2</v>
      </c>
      <c r="W137">
        <f t="shared" si="72"/>
        <v>1.9150275956587769E-2</v>
      </c>
      <c r="X137">
        <f t="shared" si="72"/>
        <v>1.9894825874305886E-2</v>
      </c>
      <c r="Y137">
        <f t="shared" si="72"/>
        <v>1.8749999999999999E-2</v>
      </c>
      <c r="Z137">
        <f t="shared" si="72"/>
        <v>1.9547287722995313E-2</v>
      </c>
      <c r="AA137">
        <f t="shared" si="72"/>
        <v>1.9471839890177377E-2</v>
      </c>
      <c r="AB137">
        <f t="shared" si="72"/>
        <v>2.0059060789397867E-2</v>
      </c>
      <c r="AC137">
        <f t="shared" si="72"/>
        <v>1.8895608918154814E-2</v>
      </c>
      <c r="AD137">
        <f t="shared" si="72"/>
        <v>1.9299245121777525E-2</v>
      </c>
      <c r="AE137">
        <f t="shared" ref="AE137" si="73">AE43/SUM(AE$6:AE$96)</f>
        <v>1.9951372997711672E-2</v>
      </c>
      <c r="AH137">
        <v>1.432558903209917E-2</v>
      </c>
    </row>
    <row r="138" spans="3:36" x14ac:dyDescent="0.25">
      <c r="C138">
        <v>57</v>
      </c>
      <c r="F138">
        <f t="shared" ref="F138:AD138" si="74">F44/SUM(F$6:F$96)</f>
        <v>1.7356241234221598E-2</v>
      </c>
      <c r="G138">
        <f t="shared" si="74"/>
        <v>1.6832540025962787E-2</v>
      </c>
      <c r="H138">
        <f t="shared" si="74"/>
        <v>1.8059943642729059E-2</v>
      </c>
      <c r="I138">
        <f t="shared" si="74"/>
        <v>1.7961042246395144E-2</v>
      </c>
      <c r="J138">
        <f t="shared" si="74"/>
        <v>1.8501541795149595E-2</v>
      </c>
      <c r="K138">
        <f t="shared" si="74"/>
        <v>1.9668353701189155E-2</v>
      </c>
      <c r="L138">
        <f t="shared" si="74"/>
        <v>1.921745857253369E-2</v>
      </c>
      <c r="M138">
        <f t="shared" si="74"/>
        <v>1.938578107367403E-2</v>
      </c>
      <c r="N138">
        <f t="shared" si="74"/>
        <v>2.0122973728339856E-2</v>
      </c>
      <c r="O138">
        <f t="shared" si="74"/>
        <v>1.970716264345073E-2</v>
      </c>
      <c r="P138">
        <f t="shared" si="74"/>
        <v>1.9604767879548308E-2</v>
      </c>
      <c r="Q138">
        <f t="shared" si="74"/>
        <v>1.9816599316133044E-2</v>
      </c>
      <c r="R138">
        <f t="shared" si="74"/>
        <v>2.0724191063174115E-2</v>
      </c>
      <c r="S138">
        <f t="shared" si="74"/>
        <v>1.8495166036149643E-2</v>
      </c>
      <c r="T138">
        <f t="shared" si="74"/>
        <v>2.0833333333333332E-2</v>
      </c>
      <c r="U138">
        <f t="shared" si="74"/>
        <v>1.9428056067039946E-2</v>
      </c>
      <c r="V138">
        <f t="shared" si="74"/>
        <v>1.9694878585549629E-2</v>
      </c>
      <c r="W138">
        <f t="shared" si="74"/>
        <v>2.0076304774604585E-2</v>
      </c>
      <c r="X138">
        <f t="shared" si="74"/>
        <v>1.9085794138197332E-2</v>
      </c>
      <c r="Y138">
        <f t="shared" si="74"/>
        <v>1.9992690058479531E-2</v>
      </c>
      <c r="Z138">
        <f t="shared" si="74"/>
        <v>1.874795625476874E-2</v>
      </c>
      <c r="AA138">
        <f t="shared" si="74"/>
        <v>1.9580217477692279E-2</v>
      </c>
      <c r="AB138">
        <f t="shared" si="74"/>
        <v>1.9554883318928264E-2</v>
      </c>
      <c r="AC138">
        <f t="shared" si="74"/>
        <v>2.0005010199334358E-2</v>
      </c>
      <c r="AD138">
        <f t="shared" si="74"/>
        <v>1.9049992878507335E-2</v>
      </c>
      <c r="AE138">
        <f t="shared" ref="AE138" si="75">AE44/SUM(AE$6:AE$96)</f>
        <v>1.9593821510297482E-2</v>
      </c>
      <c r="AH138">
        <v>1.4284541499055907E-2</v>
      </c>
    </row>
    <row r="139" spans="3:36" x14ac:dyDescent="0.25">
      <c r="C139">
        <v>58</v>
      </c>
      <c r="F139">
        <f t="shared" ref="F139:AD139" si="76">F45/SUM(F$6:F$96)</f>
        <v>1.8276647966339411E-2</v>
      </c>
      <c r="G139">
        <f t="shared" si="76"/>
        <v>1.7308524448290782E-2</v>
      </c>
      <c r="H139">
        <f t="shared" si="76"/>
        <v>1.665101186918282E-2</v>
      </c>
      <c r="I139">
        <f t="shared" si="76"/>
        <v>1.8171852601399779E-2</v>
      </c>
      <c r="J139">
        <f t="shared" si="76"/>
        <v>1.8043170264188682E-2</v>
      </c>
      <c r="K139">
        <f t="shared" si="76"/>
        <v>1.8639674114306875E-2</v>
      </c>
      <c r="L139">
        <f t="shared" si="76"/>
        <v>1.9583893163959122E-2</v>
      </c>
      <c r="M139">
        <f t="shared" si="76"/>
        <v>1.9305174915363533E-2</v>
      </c>
      <c r="N139">
        <f t="shared" si="76"/>
        <v>1.9244589954483748E-2</v>
      </c>
      <c r="O139">
        <f t="shared" si="76"/>
        <v>2.0221606648199445E-2</v>
      </c>
      <c r="P139">
        <f t="shared" si="76"/>
        <v>1.9526348808030114E-2</v>
      </c>
      <c r="Q139">
        <f t="shared" si="76"/>
        <v>1.9466894622318931E-2</v>
      </c>
      <c r="R139">
        <f t="shared" si="76"/>
        <v>1.9799691833590139E-2</v>
      </c>
      <c r="S139">
        <f t="shared" si="76"/>
        <v>2.0558676296381216E-2</v>
      </c>
      <c r="T139">
        <f t="shared" si="76"/>
        <v>1.8598484848484847E-2</v>
      </c>
      <c r="U139">
        <f t="shared" si="76"/>
        <v>2.0968772312201719E-2</v>
      </c>
      <c r="V139">
        <f t="shared" si="76"/>
        <v>1.9620276772725577E-2</v>
      </c>
      <c r="W139">
        <f t="shared" si="76"/>
        <v>1.9631810941956512E-2</v>
      </c>
      <c r="X139">
        <f t="shared" si="76"/>
        <v>2.0041922553598351E-2</v>
      </c>
      <c r="Y139">
        <f t="shared" si="76"/>
        <v>1.9188596491228071E-2</v>
      </c>
      <c r="Z139">
        <f t="shared" si="76"/>
        <v>2.005595320277586E-2</v>
      </c>
      <c r="AA139">
        <f t="shared" si="76"/>
        <v>1.8749322640078031E-2</v>
      </c>
      <c r="AB139">
        <f t="shared" si="76"/>
        <v>1.969893402477672E-2</v>
      </c>
      <c r="AC139">
        <f t="shared" si="76"/>
        <v>1.9718713094513833E-2</v>
      </c>
      <c r="AD139">
        <f t="shared" si="76"/>
        <v>2.0047001851588094E-2</v>
      </c>
      <c r="AE139">
        <f t="shared" ref="AE139" si="77">AE45/SUM(AE$6:AE$96)</f>
        <v>1.937929061784897E-2</v>
      </c>
      <c r="AF139">
        <f>SUM(AE135:AE139)</f>
        <v>0.1004004576659039</v>
      </c>
      <c r="AH139">
        <v>1.461292176340202E-2</v>
      </c>
      <c r="AI139">
        <v>7.4131844676134956E-2</v>
      </c>
      <c r="AJ139">
        <v>7.1278479064039404E-2</v>
      </c>
    </row>
    <row r="140" spans="3:36" x14ac:dyDescent="0.25">
      <c r="C140">
        <v>59</v>
      </c>
      <c r="F140">
        <f t="shared" ref="F140:AD140" si="78">F46/SUM(F$6:F$96)</f>
        <v>1.9021739130434784E-2</v>
      </c>
      <c r="G140">
        <f t="shared" si="78"/>
        <v>1.8433578537429683E-2</v>
      </c>
      <c r="H140">
        <f t="shared" si="78"/>
        <v>1.7163350695926907E-2</v>
      </c>
      <c r="I140">
        <f t="shared" si="78"/>
        <v>1.6864828400371026E-2</v>
      </c>
      <c r="J140">
        <f t="shared" si="78"/>
        <v>1.8043170264188682E-2</v>
      </c>
      <c r="K140">
        <f t="shared" si="78"/>
        <v>1.8228202279553966E-2</v>
      </c>
      <c r="L140">
        <f t="shared" si="78"/>
        <v>1.8525304344285655E-2</v>
      </c>
      <c r="M140">
        <f t="shared" si="78"/>
        <v>1.938578107367403E-2</v>
      </c>
      <c r="N140">
        <f t="shared" si="78"/>
        <v>1.9244589954483748E-2</v>
      </c>
      <c r="O140">
        <f t="shared" si="78"/>
        <v>1.9271863870201821E-2</v>
      </c>
      <c r="P140">
        <f t="shared" si="78"/>
        <v>2.0192910915934757E-2</v>
      </c>
      <c r="Q140">
        <f t="shared" si="78"/>
        <v>1.9544606776499846E-2</v>
      </c>
      <c r="R140">
        <f t="shared" si="78"/>
        <v>1.9491525423728815E-2</v>
      </c>
      <c r="S140">
        <f t="shared" si="78"/>
        <v>1.9832626390003438E-2</v>
      </c>
      <c r="T140">
        <f t="shared" si="78"/>
        <v>2.0568181818181819E-2</v>
      </c>
      <c r="U140">
        <f t="shared" si="78"/>
        <v>1.8451016496937356E-2</v>
      </c>
      <c r="V140">
        <f t="shared" si="78"/>
        <v>2.1000410309970532E-2</v>
      </c>
      <c r="W140">
        <f t="shared" si="78"/>
        <v>1.9520687483794496E-2</v>
      </c>
      <c r="X140">
        <f t="shared" si="78"/>
        <v>1.9527084176074724E-2</v>
      </c>
      <c r="Y140">
        <f t="shared" si="78"/>
        <v>2.006578947368421E-2</v>
      </c>
      <c r="Z140">
        <f t="shared" si="78"/>
        <v>1.9329288231660791E-2</v>
      </c>
      <c r="AA140">
        <f t="shared" si="78"/>
        <v>2.0302734727791625E-2</v>
      </c>
      <c r="AB140">
        <f t="shared" si="78"/>
        <v>1.8618553730913281E-2</v>
      </c>
      <c r="AC140">
        <f t="shared" si="78"/>
        <v>1.9575564542103567E-2</v>
      </c>
      <c r="AD140">
        <f t="shared" si="78"/>
        <v>1.9904571998290842E-2</v>
      </c>
      <c r="AE140">
        <f t="shared" ref="AE140" si="79">AE46/SUM(AE$6:AE$96)</f>
        <v>2.0416189931350113E-2</v>
      </c>
      <c r="AH140">
        <v>1.3833018635580001E-2</v>
      </c>
    </row>
    <row r="141" spans="3:36" x14ac:dyDescent="0.25">
      <c r="C141">
        <v>60</v>
      </c>
      <c r="F141">
        <f t="shared" ref="F141:AD141" si="80">F47/SUM(F$6:F$96)</f>
        <v>1.4945652173913044E-2</v>
      </c>
      <c r="G141">
        <f t="shared" si="80"/>
        <v>1.8909562959757681E-2</v>
      </c>
      <c r="H141">
        <f t="shared" si="80"/>
        <v>1.8358807958329774E-2</v>
      </c>
      <c r="I141">
        <f t="shared" si="80"/>
        <v>1.7075638755375665E-2</v>
      </c>
      <c r="J141">
        <f t="shared" si="80"/>
        <v>1.6876406367197266E-2</v>
      </c>
      <c r="K141">
        <f t="shared" si="80"/>
        <v>1.7940171995226926E-2</v>
      </c>
      <c r="L141">
        <f t="shared" si="80"/>
        <v>1.8240299662065876E-2</v>
      </c>
      <c r="M141">
        <f t="shared" si="80"/>
        <v>1.8378204094792842E-2</v>
      </c>
      <c r="N141">
        <f t="shared" si="80"/>
        <v>1.9404296095184861E-2</v>
      </c>
      <c r="O141">
        <f t="shared" si="80"/>
        <v>1.9074000791452314E-2</v>
      </c>
      <c r="P141">
        <f t="shared" si="80"/>
        <v>1.9095043914680049E-2</v>
      </c>
      <c r="Q141">
        <f t="shared" si="80"/>
        <v>2.0127447932856698E-2</v>
      </c>
      <c r="R141">
        <f t="shared" si="80"/>
        <v>1.9530046224961479E-2</v>
      </c>
      <c r="S141">
        <f t="shared" si="80"/>
        <v>1.9297642248461921E-2</v>
      </c>
      <c r="T141">
        <f t="shared" si="80"/>
        <v>1.9621212121212123E-2</v>
      </c>
      <c r="U141">
        <f t="shared" si="80"/>
        <v>2.0592987862162265E-2</v>
      </c>
      <c r="V141">
        <f t="shared" si="80"/>
        <v>1.8650453206012906E-2</v>
      </c>
      <c r="W141">
        <f t="shared" si="80"/>
        <v>2.0817127829018039E-2</v>
      </c>
      <c r="X141">
        <f t="shared" si="80"/>
        <v>1.9637406685544073E-2</v>
      </c>
      <c r="Y141">
        <f t="shared" si="80"/>
        <v>1.9663742690058481E-2</v>
      </c>
      <c r="Z141">
        <f t="shared" si="80"/>
        <v>1.9983286705664353E-2</v>
      </c>
      <c r="AA141">
        <f t="shared" si="80"/>
        <v>1.929121057765254E-2</v>
      </c>
      <c r="AB141">
        <f t="shared" si="80"/>
        <v>2.0095073465859984E-2</v>
      </c>
      <c r="AC141">
        <f t="shared" si="80"/>
        <v>1.8609311813334289E-2</v>
      </c>
      <c r="AD141">
        <f t="shared" si="80"/>
        <v>1.9406067511750464E-2</v>
      </c>
      <c r="AE141">
        <f t="shared" ref="AE141" si="81">AE47/SUM(AE$6:AE$96)</f>
        <v>2.0165903890160184E-2</v>
      </c>
      <c r="AH141">
        <v>1.4161398899926115E-2</v>
      </c>
    </row>
    <row r="142" spans="3:36" x14ac:dyDescent="0.25">
      <c r="C142">
        <v>61</v>
      </c>
      <c r="F142">
        <f t="shared" ref="F142:AD142" si="82">F48/SUM(F$6:F$96)</f>
        <v>1.4770336605890604E-2</v>
      </c>
      <c r="G142">
        <f t="shared" si="82"/>
        <v>1.479878840328862E-2</v>
      </c>
      <c r="H142">
        <f t="shared" si="82"/>
        <v>1.8999231491759885E-2</v>
      </c>
      <c r="I142">
        <f t="shared" si="82"/>
        <v>1.8087528459397925E-2</v>
      </c>
      <c r="J142">
        <f t="shared" si="82"/>
        <v>1.7168097341445119E-2</v>
      </c>
      <c r="K142">
        <f t="shared" si="82"/>
        <v>1.6746903674443484E-2</v>
      </c>
      <c r="L142">
        <f t="shared" si="82"/>
        <v>1.7914580025243272E-2</v>
      </c>
      <c r="M142">
        <f t="shared" si="82"/>
        <v>1.7975173303240367E-2</v>
      </c>
      <c r="N142">
        <f t="shared" si="82"/>
        <v>1.8206500039926535E-2</v>
      </c>
      <c r="O142">
        <f t="shared" si="82"/>
        <v>1.9390581717451522E-2</v>
      </c>
      <c r="P142">
        <f t="shared" si="82"/>
        <v>1.9055834378920954E-2</v>
      </c>
      <c r="Q142">
        <f t="shared" si="82"/>
        <v>1.8922909543052535E-2</v>
      </c>
      <c r="R142">
        <f t="shared" si="82"/>
        <v>2.0069337442218799E-2</v>
      </c>
      <c r="S142">
        <f t="shared" si="82"/>
        <v>1.9259429095494669E-2</v>
      </c>
      <c r="T142">
        <f t="shared" si="82"/>
        <v>1.9242424242424241E-2</v>
      </c>
      <c r="U142">
        <f t="shared" si="82"/>
        <v>1.9578369847055729E-2</v>
      </c>
      <c r="V142">
        <f t="shared" si="82"/>
        <v>2.0552799433026223E-2</v>
      </c>
      <c r="W142">
        <f t="shared" si="82"/>
        <v>1.8520576360336334E-2</v>
      </c>
      <c r="X142">
        <f t="shared" si="82"/>
        <v>2.0887728459530026E-2</v>
      </c>
      <c r="Y142">
        <f t="shared" si="82"/>
        <v>1.9700292397660819E-2</v>
      </c>
      <c r="Z142">
        <f t="shared" si="82"/>
        <v>1.9547287722995313E-2</v>
      </c>
      <c r="AA142">
        <f t="shared" si="82"/>
        <v>1.9977601965246922E-2</v>
      </c>
      <c r="AB142">
        <f t="shared" si="82"/>
        <v>1.9230769230769232E-2</v>
      </c>
      <c r="AC142">
        <f t="shared" si="82"/>
        <v>2.0076584475539491E-2</v>
      </c>
      <c r="AD142">
        <f t="shared" si="82"/>
        <v>1.8729525708588522E-2</v>
      </c>
      <c r="AE142">
        <f t="shared" ref="AE142" si="83">AE48/SUM(AE$6:AE$96)</f>
        <v>1.966533180778032E-2</v>
      </c>
      <c r="AH142">
        <v>1.2478450045152287E-2</v>
      </c>
    </row>
    <row r="143" spans="3:36" x14ac:dyDescent="0.25">
      <c r="C143">
        <v>62</v>
      </c>
      <c r="F143">
        <f t="shared" ref="F143:AD143" si="84">F49/SUM(F$6:F$96)</f>
        <v>1.4989481065918653E-2</v>
      </c>
      <c r="G143">
        <f t="shared" si="84"/>
        <v>1.4625703158805712E-2</v>
      </c>
      <c r="H143">
        <f t="shared" si="84"/>
        <v>1.4857825975578515E-2</v>
      </c>
      <c r="I143">
        <f t="shared" si="84"/>
        <v>1.8930769879416477E-2</v>
      </c>
      <c r="J143">
        <f t="shared" si="84"/>
        <v>1.8043170264188682E-2</v>
      </c>
      <c r="K143">
        <f t="shared" si="84"/>
        <v>1.7034933958770523E-2</v>
      </c>
      <c r="L143">
        <f t="shared" si="84"/>
        <v>1.6896706160172633E-2</v>
      </c>
      <c r="M143">
        <f t="shared" si="84"/>
        <v>1.7934870224085121E-2</v>
      </c>
      <c r="N143">
        <f t="shared" si="84"/>
        <v>1.7847161223349037E-2</v>
      </c>
      <c r="O143">
        <f t="shared" si="84"/>
        <v>1.8203403244954491E-2</v>
      </c>
      <c r="P143">
        <f t="shared" si="84"/>
        <v>1.9212672521957339E-2</v>
      </c>
      <c r="Q143">
        <f t="shared" si="84"/>
        <v>1.8884053465962076E-2</v>
      </c>
      <c r="R143">
        <f t="shared" si="84"/>
        <v>1.8875192604006163E-2</v>
      </c>
      <c r="S143">
        <f t="shared" si="84"/>
        <v>2.0023692154839696E-2</v>
      </c>
      <c r="T143">
        <f t="shared" si="84"/>
        <v>1.9431818181818182E-2</v>
      </c>
      <c r="U143">
        <f t="shared" si="84"/>
        <v>1.9127428507008382E-2</v>
      </c>
      <c r="V143">
        <f t="shared" si="84"/>
        <v>1.9620276772725577E-2</v>
      </c>
      <c r="W143">
        <f t="shared" si="84"/>
        <v>2.0372633996369967E-2</v>
      </c>
      <c r="X143">
        <f t="shared" si="84"/>
        <v>1.849740742102747E-2</v>
      </c>
      <c r="Y143">
        <f t="shared" si="84"/>
        <v>2.0796783625730994E-2</v>
      </c>
      <c r="Z143">
        <f t="shared" si="84"/>
        <v>1.9583620971551065E-2</v>
      </c>
      <c r="AA143">
        <f t="shared" si="84"/>
        <v>1.9580217477692279E-2</v>
      </c>
      <c r="AB143">
        <f t="shared" si="84"/>
        <v>1.9951022760011525E-2</v>
      </c>
      <c r="AC143">
        <f t="shared" si="84"/>
        <v>1.9181906022975342E-2</v>
      </c>
      <c r="AD143">
        <f t="shared" si="84"/>
        <v>2.0047001851588094E-2</v>
      </c>
      <c r="AE143">
        <f t="shared" ref="AE143" si="85">AE49/SUM(AE$6:AE$96)</f>
        <v>1.8985983981693363E-2</v>
      </c>
      <c r="AH143">
        <v>1.251949757819555E-2</v>
      </c>
    </row>
    <row r="144" spans="3:36" x14ac:dyDescent="0.25">
      <c r="C144">
        <v>63</v>
      </c>
      <c r="F144">
        <f t="shared" ref="F144:AD144" si="86">F50/SUM(F$6:F$96)</f>
        <v>1.4288218793828892E-2</v>
      </c>
      <c r="G144">
        <f t="shared" si="86"/>
        <v>1.5015144958892255E-2</v>
      </c>
      <c r="H144">
        <f t="shared" si="86"/>
        <v>1.4644351464435146E-2</v>
      </c>
      <c r="I144">
        <f t="shared" si="86"/>
        <v>1.4714562779323721E-2</v>
      </c>
      <c r="J144">
        <f t="shared" si="86"/>
        <v>1.8751562630219185E-2</v>
      </c>
      <c r="K144">
        <f t="shared" si="86"/>
        <v>1.8022466362177508E-2</v>
      </c>
      <c r="L144">
        <f t="shared" si="86"/>
        <v>1.7018851023981107E-2</v>
      </c>
      <c r="M144">
        <f t="shared" si="86"/>
        <v>1.700789940351443E-2</v>
      </c>
      <c r="N144">
        <f t="shared" si="86"/>
        <v>1.8006867364050147E-2</v>
      </c>
      <c r="O144">
        <f t="shared" si="86"/>
        <v>1.7768104471705581E-2</v>
      </c>
      <c r="P144">
        <f t="shared" si="86"/>
        <v>1.8114805520702635E-2</v>
      </c>
      <c r="Q144">
        <f t="shared" si="86"/>
        <v>1.935032639104756E-2</v>
      </c>
      <c r="R144">
        <f t="shared" si="86"/>
        <v>1.8913713405238827E-2</v>
      </c>
      <c r="S144">
        <f t="shared" si="86"/>
        <v>1.8800871259887653E-2</v>
      </c>
      <c r="T144">
        <f t="shared" si="86"/>
        <v>1.9962121212121212E-2</v>
      </c>
      <c r="U144">
        <f t="shared" si="86"/>
        <v>1.9540791402051783E-2</v>
      </c>
      <c r="V144">
        <f t="shared" si="86"/>
        <v>1.9135364989369241E-2</v>
      </c>
      <c r="W144">
        <f t="shared" si="86"/>
        <v>1.9631810941956512E-2</v>
      </c>
      <c r="X144">
        <f t="shared" si="86"/>
        <v>2.0299341742360165E-2</v>
      </c>
      <c r="Y144">
        <f t="shared" si="86"/>
        <v>1.8494152046783625E-2</v>
      </c>
      <c r="Z144">
        <f t="shared" si="86"/>
        <v>2.0782618173890929E-2</v>
      </c>
      <c r="AA144">
        <f t="shared" si="86"/>
        <v>1.9544091615187314E-2</v>
      </c>
      <c r="AB144">
        <f t="shared" si="86"/>
        <v>1.9482857966004033E-2</v>
      </c>
      <c r="AC144">
        <f t="shared" si="86"/>
        <v>2.0112371613642058E-2</v>
      </c>
      <c r="AD144">
        <f t="shared" si="86"/>
        <v>1.9299245121777525E-2</v>
      </c>
      <c r="AE144">
        <f t="shared" ref="AE144" si="87">AE50/SUM(AE$6:AE$96)</f>
        <v>2.0416189931350113E-2</v>
      </c>
      <c r="AF144">
        <f>SUM(AE140:AE144)</f>
        <v>9.9649599542334086E-2</v>
      </c>
      <c r="AH144">
        <v>1.3299400706017568E-2</v>
      </c>
      <c r="AI144">
        <v>6.6291765864871524E-2</v>
      </c>
      <c r="AJ144">
        <v>6.8149630541871897E-2</v>
      </c>
    </row>
    <row r="145" spans="3:36" x14ac:dyDescent="0.25">
      <c r="C145">
        <v>64</v>
      </c>
      <c r="F145">
        <f t="shared" ref="F145:AD145" si="88">F51/SUM(F$6:F$96)</f>
        <v>1.4244389901823282E-2</v>
      </c>
      <c r="G145">
        <f t="shared" si="88"/>
        <v>1.4106447425356989E-2</v>
      </c>
      <c r="H145">
        <f t="shared" si="88"/>
        <v>1.4985910682264538E-2</v>
      </c>
      <c r="I145">
        <f t="shared" si="88"/>
        <v>1.4503752424319083E-2</v>
      </c>
      <c r="J145">
        <f t="shared" si="88"/>
        <v>1.475122926910576E-2</v>
      </c>
      <c r="K145">
        <f t="shared" si="88"/>
        <v>1.8845410031683333E-2</v>
      </c>
      <c r="L145">
        <f t="shared" si="88"/>
        <v>1.7955294979846097E-2</v>
      </c>
      <c r="M145">
        <f t="shared" si="88"/>
        <v>1.696759632435918E-2</v>
      </c>
      <c r="N145">
        <f t="shared" si="88"/>
        <v>1.7008703984668212E-2</v>
      </c>
      <c r="O145">
        <f t="shared" si="88"/>
        <v>1.7886822318955282E-2</v>
      </c>
      <c r="P145">
        <f t="shared" si="88"/>
        <v>1.7644291091593475E-2</v>
      </c>
      <c r="Q145">
        <f t="shared" si="88"/>
        <v>1.7951507615791111E-2</v>
      </c>
      <c r="R145">
        <f t="shared" si="88"/>
        <v>1.9298921417565486E-2</v>
      </c>
      <c r="S145">
        <f t="shared" si="88"/>
        <v>1.8953723871756659E-2</v>
      </c>
      <c r="T145">
        <f t="shared" si="88"/>
        <v>1.8712121212121211E-2</v>
      </c>
      <c r="U145">
        <f t="shared" si="88"/>
        <v>1.9878997407087293E-2</v>
      </c>
      <c r="V145">
        <f t="shared" si="88"/>
        <v>1.9657577679137603E-2</v>
      </c>
      <c r="W145">
        <f t="shared" si="88"/>
        <v>1.9224358262029114E-2</v>
      </c>
      <c r="X145">
        <f t="shared" si="88"/>
        <v>1.9416761666605376E-2</v>
      </c>
      <c r="Y145">
        <f t="shared" si="88"/>
        <v>2.006578947368421E-2</v>
      </c>
      <c r="Z145">
        <f t="shared" si="88"/>
        <v>1.8384623769211204E-2</v>
      </c>
      <c r="AA145">
        <f t="shared" si="88"/>
        <v>2.0736245077851233E-2</v>
      </c>
      <c r="AB145">
        <f t="shared" si="88"/>
        <v>1.9590895995390378E-2</v>
      </c>
      <c r="AC145">
        <f t="shared" si="88"/>
        <v>1.9503990265898438E-2</v>
      </c>
      <c r="AD145">
        <f t="shared" si="88"/>
        <v>2.0082609314912406E-2</v>
      </c>
      <c r="AE145">
        <f t="shared" ref="AE145" si="89">AE51/SUM(AE$6:AE$96)</f>
        <v>1.9486556064073228E-2</v>
      </c>
      <c r="AH145">
        <v>1.4284541499055907E-2</v>
      </c>
    </row>
    <row r="146" spans="3:36" x14ac:dyDescent="0.25">
      <c r="C146">
        <v>65</v>
      </c>
      <c r="F146">
        <f t="shared" ref="F146:AD146" si="90">F52/SUM(F$6:F$96)</f>
        <v>1.0343618513323983E-2</v>
      </c>
      <c r="G146">
        <f t="shared" si="90"/>
        <v>1.4236261358719169E-2</v>
      </c>
      <c r="H146">
        <f t="shared" si="90"/>
        <v>1.4174707539919734E-2</v>
      </c>
      <c r="I146">
        <f t="shared" si="90"/>
        <v>1.4925373134328358E-2</v>
      </c>
      <c r="J146">
        <f t="shared" si="90"/>
        <v>1.441786815567964E-2</v>
      </c>
      <c r="K146">
        <f t="shared" si="90"/>
        <v>1.4607250133728347E-2</v>
      </c>
      <c r="L146">
        <f t="shared" si="90"/>
        <v>1.8810309026505434E-2</v>
      </c>
      <c r="M146">
        <f t="shared" si="90"/>
        <v>1.7813960986619377E-2</v>
      </c>
      <c r="N146">
        <f t="shared" si="90"/>
        <v>1.6689291703265989E-2</v>
      </c>
      <c r="O146">
        <f t="shared" si="90"/>
        <v>1.6818361693707953E-2</v>
      </c>
      <c r="P146">
        <f t="shared" si="90"/>
        <v>1.7683500627352571E-2</v>
      </c>
      <c r="Q146">
        <f t="shared" si="90"/>
        <v>1.7601802921976998E-2</v>
      </c>
      <c r="R146">
        <f t="shared" si="90"/>
        <v>1.7873651771956857E-2</v>
      </c>
      <c r="S146">
        <f t="shared" si="90"/>
        <v>1.8953723871756659E-2</v>
      </c>
      <c r="T146">
        <f t="shared" si="90"/>
        <v>1.8787878787878787E-2</v>
      </c>
      <c r="U146">
        <f t="shared" si="90"/>
        <v>1.867648716696103E-2</v>
      </c>
      <c r="V146">
        <f t="shared" si="90"/>
        <v>1.9732179491961654E-2</v>
      </c>
      <c r="W146">
        <f t="shared" si="90"/>
        <v>1.9483646331073821E-2</v>
      </c>
      <c r="X146">
        <f t="shared" si="90"/>
        <v>1.9085794138197332E-2</v>
      </c>
      <c r="Y146">
        <f t="shared" si="90"/>
        <v>1.9371345029239765E-2</v>
      </c>
      <c r="Z146">
        <f t="shared" si="90"/>
        <v>1.9946953457108601E-2</v>
      </c>
      <c r="AA146">
        <f t="shared" si="90"/>
        <v>1.838806401502836E-2</v>
      </c>
      <c r="AB146">
        <f t="shared" si="90"/>
        <v>2.0779314318640163E-2</v>
      </c>
      <c r="AC146">
        <f t="shared" si="90"/>
        <v>1.9611351680206134E-2</v>
      </c>
      <c r="AD146">
        <f t="shared" si="90"/>
        <v>1.9441674975074777E-2</v>
      </c>
      <c r="AE146">
        <f t="shared" ref="AE146" si="91">AE52/SUM(AE$6:AE$96)</f>
        <v>2.0165903890160184E-2</v>
      </c>
      <c r="AH146">
        <v>1.4284541499055907E-2</v>
      </c>
    </row>
    <row r="147" spans="3:36" x14ac:dyDescent="0.25">
      <c r="C147">
        <v>66</v>
      </c>
      <c r="F147">
        <f t="shared" ref="F147:AD147" si="92">F53/SUM(F$6:F$96)</f>
        <v>1.1351683029453016E-2</v>
      </c>
      <c r="G147">
        <f t="shared" si="92"/>
        <v>1.038511466897447E-2</v>
      </c>
      <c r="H147">
        <f t="shared" si="92"/>
        <v>1.4174707539919734E-2</v>
      </c>
      <c r="I147">
        <f t="shared" si="92"/>
        <v>1.4124293785310734E-2</v>
      </c>
      <c r="J147">
        <f t="shared" si="92"/>
        <v>1.4709559129927495E-2</v>
      </c>
      <c r="K147">
        <f t="shared" si="92"/>
        <v>1.4236925482450726E-2</v>
      </c>
      <c r="L147">
        <f t="shared" si="92"/>
        <v>1.4657383657017223E-2</v>
      </c>
      <c r="M147">
        <f t="shared" si="92"/>
        <v>1.8781234886345317E-2</v>
      </c>
      <c r="N147">
        <f t="shared" si="92"/>
        <v>1.7687455082647928E-2</v>
      </c>
      <c r="O147">
        <f t="shared" si="92"/>
        <v>1.6580925999208549E-2</v>
      </c>
      <c r="P147">
        <f t="shared" si="92"/>
        <v>1.6664052697616061E-2</v>
      </c>
      <c r="Q147">
        <f t="shared" si="92"/>
        <v>1.7407522536524712E-2</v>
      </c>
      <c r="R147">
        <f t="shared" si="92"/>
        <v>1.7565485362095533E-2</v>
      </c>
      <c r="S147">
        <f t="shared" si="92"/>
        <v>1.7921968741640874E-2</v>
      </c>
      <c r="T147">
        <f t="shared" si="92"/>
        <v>1.8863636363636364E-2</v>
      </c>
      <c r="U147">
        <f t="shared" si="92"/>
        <v>1.8714065611964977E-2</v>
      </c>
      <c r="V147">
        <f t="shared" si="92"/>
        <v>1.861315229960088E-2</v>
      </c>
      <c r="W147">
        <f t="shared" si="92"/>
        <v>1.9594769789235841E-2</v>
      </c>
      <c r="X147">
        <f t="shared" si="92"/>
        <v>1.9232890817489794E-2</v>
      </c>
      <c r="Y147">
        <f t="shared" si="92"/>
        <v>1.8786549707602341E-2</v>
      </c>
      <c r="Z147">
        <f t="shared" si="92"/>
        <v>1.9329288231660791E-2</v>
      </c>
      <c r="AA147">
        <f t="shared" si="92"/>
        <v>1.9760846790217116E-2</v>
      </c>
      <c r="AB147">
        <f t="shared" si="92"/>
        <v>1.8150388936905792E-2</v>
      </c>
      <c r="AC147">
        <f t="shared" si="92"/>
        <v>2.0577604408975415E-2</v>
      </c>
      <c r="AD147">
        <f t="shared" si="92"/>
        <v>1.9512889901723403E-2</v>
      </c>
      <c r="AE147">
        <f t="shared" ref="AE147" si="93">AE53/SUM(AE$6:AE$96)</f>
        <v>1.9629576659038903E-2</v>
      </c>
      <c r="AH147">
        <v>1.4530826697315492E-2</v>
      </c>
    </row>
    <row r="148" spans="3:36" x14ac:dyDescent="0.25">
      <c r="C148">
        <v>67</v>
      </c>
      <c r="F148">
        <f t="shared" ref="F148:AD148" si="94">F54/SUM(F$6:F$96)</f>
        <v>1.0475105189340814E-2</v>
      </c>
      <c r="G148">
        <f t="shared" si="94"/>
        <v>1.1466897446992644E-2</v>
      </c>
      <c r="H148">
        <f t="shared" si="94"/>
        <v>1.0374861241567756E-2</v>
      </c>
      <c r="I148">
        <f t="shared" si="94"/>
        <v>1.3913483430306097E-2</v>
      </c>
      <c r="J148">
        <f t="shared" si="94"/>
        <v>1.3917826485540461E-2</v>
      </c>
      <c r="K148">
        <f t="shared" si="94"/>
        <v>1.4566102950253056E-2</v>
      </c>
      <c r="L148">
        <f t="shared" si="94"/>
        <v>1.412808924718049E-2</v>
      </c>
      <c r="M148">
        <f t="shared" si="94"/>
        <v>1.4347896179268096E-2</v>
      </c>
      <c r="N148">
        <f t="shared" si="94"/>
        <v>1.876547153238042E-2</v>
      </c>
      <c r="O148">
        <f t="shared" si="94"/>
        <v>1.7372378314206568E-2</v>
      </c>
      <c r="P148">
        <f t="shared" si="94"/>
        <v>1.6507214554579673E-2</v>
      </c>
      <c r="Q148">
        <f t="shared" si="94"/>
        <v>1.6630400994715574E-2</v>
      </c>
      <c r="R148">
        <f t="shared" si="94"/>
        <v>1.706471494607088E-2</v>
      </c>
      <c r="S148">
        <f t="shared" si="94"/>
        <v>1.7578050364935611E-2</v>
      </c>
      <c r="T148">
        <f t="shared" si="94"/>
        <v>1.7689393939393939E-2</v>
      </c>
      <c r="U148">
        <f t="shared" si="94"/>
        <v>1.8826800946976814E-2</v>
      </c>
      <c r="V148">
        <f t="shared" si="94"/>
        <v>1.8463948673952776E-2</v>
      </c>
      <c r="W148">
        <f t="shared" si="94"/>
        <v>1.8520576360336334E-2</v>
      </c>
      <c r="X148">
        <f t="shared" si="94"/>
        <v>1.9453535836428493E-2</v>
      </c>
      <c r="Y148">
        <f t="shared" si="94"/>
        <v>1.9261695906432747E-2</v>
      </c>
      <c r="Z148">
        <f t="shared" si="94"/>
        <v>1.8929622497547507E-2</v>
      </c>
      <c r="AA148">
        <f t="shared" si="94"/>
        <v>1.9327336440157508E-2</v>
      </c>
      <c r="AB148">
        <f t="shared" si="94"/>
        <v>1.9590895995390378E-2</v>
      </c>
      <c r="AC148">
        <f t="shared" si="94"/>
        <v>1.8108291879898365E-2</v>
      </c>
      <c r="AD148">
        <f t="shared" si="94"/>
        <v>2.0545506338128471E-2</v>
      </c>
      <c r="AE148">
        <f t="shared" ref="AE148" si="95">AE54/SUM(AE$6:AE$96)</f>
        <v>1.937929061784897E-2</v>
      </c>
      <c r="AH148">
        <v>1.2929972908628191E-2</v>
      </c>
    </row>
    <row r="149" spans="3:36" x14ac:dyDescent="0.25">
      <c r="C149">
        <v>68</v>
      </c>
      <c r="F149">
        <f t="shared" ref="F149:AD149" si="96">F55/SUM(F$6:F$96)</f>
        <v>9.8176718092566617E-3</v>
      </c>
      <c r="G149">
        <f t="shared" si="96"/>
        <v>1.038511466897447E-2</v>
      </c>
      <c r="H149">
        <f t="shared" si="96"/>
        <v>1.1356843992827256E-2</v>
      </c>
      <c r="I149">
        <f t="shared" si="96"/>
        <v>1.0329707395227254E-2</v>
      </c>
      <c r="J149">
        <f t="shared" si="96"/>
        <v>1.3917826485540461E-2</v>
      </c>
      <c r="K149">
        <f t="shared" si="96"/>
        <v>1.3619717730321359E-2</v>
      </c>
      <c r="L149">
        <f t="shared" si="96"/>
        <v>1.4535238793208746E-2</v>
      </c>
      <c r="M149">
        <f t="shared" si="96"/>
        <v>1.3944865387715621E-2</v>
      </c>
      <c r="N149">
        <f t="shared" si="96"/>
        <v>1.4173919987223508E-2</v>
      </c>
      <c r="O149">
        <f t="shared" si="96"/>
        <v>1.8599129402453504E-2</v>
      </c>
      <c r="P149">
        <f t="shared" si="96"/>
        <v>1.7173776662484316E-2</v>
      </c>
      <c r="Q149">
        <f t="shared" si="96"/>
        <v>1.6241840223811005E-2</v>
      </c>
      <c r="R149">
        <f t="shared" si="96"/>
        <v>1.6448382126348228E-2</v>
      </c>
      <c r="S149">
        <f t="shared" si="96"/>
        <v>1.7081279376361343E-2</v>
      </c>
      <c r="T149">
        <f t="shared" si="96"/>
        <v>1.7462121212121214E-2</v>
      </c>
      <c r="U149">
        <f t="shared" si="96"/>
        <v>1.7624290706850551E-2</v>
      </c>
      <c r="V149">
        <f t="shared" si="96"/>
        <v>1.8575851393188854E-2</v>
      </c>
      <c r="W149">
        <f t="shared" si="96"/>
        <v>1.8298329444012298E-2</v>
      </c>
      <c r="X149">
        <f t="shared" si="96"/>
        <v>1.8350310741735005E-2</v>
      </c>
      <c r="Y149">
        <f t="shared" si="96"/>
        <v>1.9334795321637427E-2</v>
      </c>
      <c r="Z149">
        <f t="shared" si="96"/>
        <v>1.9147621988882025E-2</v>
      </c>
      <c r="AA149">
        <f t="shared" si="96"/>
        <v>1.8821574365087967E-2</v>
      </c>
      <c r="AB149">
        <f t="shared" si="96"/>
        <v>1.9518870642466147E-2</v>
      </c>
      <c r="AC149">
        <f t="shared" si="96"/>
        <v>1.96471388183087E-2</v>
      </c>
      <c r="AD149">
        <f t="shared" si="96"/>
        <v>1.7981768978777953E-2</v>
      </c>
      <c r="AE149">
        <f t="shared" ref="AE149" si="97">AE55/SUM(AE$6:AE$96)</f>
        <v>2.0594965675057208E-2</v>
      </c>
      <c r="AF149">
        <f>SUM(AE145:AE149)</f>
        <v>9.9256292906178503E-2</v>
      </c>
      <c r="AH149">
        <v>1.5844347754699943E-2</v>
      </c>
      <c r="AI149">
        <v>7.1874230358755439E-2</v>
      </c>
      <c r="AJ149">
        <v>6.7106681034482807E-2</v>
      </c>
    </row>
    <row r="150" spans="3:36" x14ac:dyDescent="0.25">
      <c r="C150">
        <v>69</v>
      </c>
      <c r="F150">
        <f t="shared" ref="F150:AD150" si="98">F56/SUM(F$6:F$96)</f>
        <v>1.1264025245441796E-2</v>
      </c>
      <c r="G150">
        <f t="shared" si="98"/>
        <v>9.8225876244050197E-3</v>
      </c>
      <c r="H150">
        <f t="shared" si="98"/>
        <v>1.0374861241567756E-2</v>
      </c>
      <c r="I150">
        <f t="shared" si="98"/>
        <v>1.1468083312252297E-2</v>
      </c>
      <c r="J150">
        <f t="shared" si="98"/>
        <v>1.0167513959496624E-2</v>
      </c>
      <c r="K150">
        <f t="shared" si="98"/>
        <v>1.3866600831173106E-2</v>
      </c>
      <c r="L150">
        <f t="shared" si="98"/>
        <v>1.3476649973535279E-2</v>
      </c>
      <c r="M150">
        <f t="shared" si="98"/>
        <v>1.4468805416733838E-2</v>
      </c>
      <c r="N150">
        <f t="shared" si="98"/>
        <v>1.3934360776171844E-2</v>
      </c>
      <c r="O150">
        <f t="shared" si="98"/>
        <v>1.3969133359715077E-2</v>
      </c>
      <c r="P150">
        <f t="shared" si="98"/>
        <v>1.8506900878293601E-2</v>
      </c>
      <c r="Q150">
        <f t="shared" si="98"/>
        <v>1.7018961765620143E-2</v>
      </c>
      <c r="R150">
        <f t="shared" si="98"/>
        <v>1.6140215716486904E-2</v>
      </c>
      <c r="S150">
        <f t="shared" si="98"/>
        <v>1.6278803164049067E-2</v>
      </c>
      <c r="T150">
        <f t="shared" si="98"/>
        <v>1.6969696969696971E-2</v>
      </c>
      <c r="U150">
        <f t="shared" si="98"/>
        <v>1.7511555371838714E-2</v>
      </c>
      <c r="V150">
        <f t="shared" si="98"/>
        <v>1.771793054571226E-2</v>
      </c>
      <c r="W150">
        <f t="shared" si="98"/>
        <v>1.859465866577768E-2</v>
      </c>
      <c r="X150">
        <f t="shared" si="98"/>
        <v>1.8129665722796309E-2</v>
      </c>
      <c r="Y150">
        <f t="shared" si="98"/>
        <v>1.8165204678362572E-2</v>
      </c>
      <c r="Z150">
        <f t="shared" si="98"/>
        <v>1.9292954983105039E-2</v>
      </c>
      <c r="AA150">
        <f t="shared" si="98"/>
        <v>1.903832954011777E-2</v>
      </c>
      <c r="AB150">
        <f t="shared" si="98"/>
        <v>1.8834629789685968E-2</v>
      </c>
      <c r="AC150">
        <f t="shared" si="98"/>
        <v>1.9360841713488171E-2</v>
      </c>
      <c r="AD150">
        <f t="shared" si="98"/>
        <v>1.9619712291696338E-2</v>
      </c>
      <c r="AE150">
        <f t="shared" ref="AE150" si="99">AE56/SUM(AE$6:AE$96)</f>
        <v>1.8163615560640733E-2</v>
      </c>
      <c r="AH150">
        <v>1.2806830309498399E-2</v>
      </c>
    </row>
    <row r="151" spans="3:36" x14ac:dyDescent="0.25">
      <c r="C151">
        <v>70</v>
      </c>
      <c r="F151">
        <f t="shared" ref="F151:AD151" si="100">F57/SUM(F$6:F$96)</f>
        <v>7.8892005610098175E-3</v>
      </c>
      <c r="G151">
        <f t="shared" si="100"/>
        <v>1.1120726958026829E-2</v>
      </c>
      <c r="H151">
        <f t="shared" si="100"/>
        <v>9.6917428059089747E-3</v>
      </c>
      <c r="I151">
        <f t="shared" si="100"/>
        <v>1.0414031537229109E-2</v>
      </c>
      <c r="J151">
        <f t="shared" si="100"/>
        <v>1.141761813484457E-2</v>
      </c>
      <c r="K151">
        <f t="shared" si="100"/>
        <v>1.0039912767971032E-2</v>
      </c>
      <c r="L151">
        <f t="shared" si="100"/>
        <v>1.376165465575506E-2</v>
      </c>
      <c r="M151">
        <f t="shared" si="100"/>
        <v>1.3582137675318394E-2</v>
      </c>
      <c r="N151">
        <f t="shared" si="100"/>
        <v>1.445340573345045E-2</v>
      </c>
      <c r="O151">
        <f t="shared" si="100"/>
        <v>1.3850415512465374E-2</v>
      </c>
      <c r="P151">
        <f t="shared" si="100"/>
        <v>1.3840966122961105E-2</v>
      </c>
      <c r="Q151">
        <f t="shared" si="100"/>
        <v>1.8417780540876592E-2</v>
      </c>
      <c r="R151">
        <f t="shared" si="100"/>
        <v>1.6910631741140214E-2</v>
      </c>
      <c r="S151">
        <f t="shared" si="100"/>
        <v>1.5973097940311057E-2</v>
      </c>
      <c r="T151">
        <f t="shared" si="100"/>
        <v>1.6250000000000001E-2</v>
      </c>
      <c r="U151">
        <f t="shared" si="100"/>
        <v>1.7060614031791363E-2</v>
      </c>
      <c r="V151">
        <f t="shared" si="100"/>
        <v>1.7233018762355924E-2</v>
      </c>
      <c r="W151">
        <f t="shared" si="100"/>
        <v>1.7520465236878172E-2</v>
      </c>
      <c r="X151">
        <f t="shared" si="100"/>
        <v>1.8570955760673701E-2</v>
      </c>
      <c r="Y151">
        <f t="shared" si="100"/>
        <v>1.8055555555555554E-2</v>
      </c>
      <c r="Z151">
        <f t="shared" si="100"/>
        <v>1.8093957780765179E-2</v>
      </c>
      <c r="AA151">
        <f t="shared" si="100"/>
        <v>1.9074455402622738E-2</v>
      </c>
      <c r="AB151">
        <f t="shared" si="100"/>
        <v>1.8726591760299626E-2</v>
      </c>
      <c r="AC151">
        <f t="shared" si="100"/>
        <v>1.8645098951436855E-2</v>
      </c>
      <c r="AD151">
        <f t="shared" si="100"/>
        <v>1.9156815268480273E-2</v>
      </c>
      <c r="AE151">
        <f t="shared" ref="AE151" si="101">AE57/SUM(AE$6:AE$96)</f>
        <v>1.966533180778032E-2</v>
      </c>
      <c r="AH151">
        <v>1.3833018635580001E-2</v>
      </c>
    </row>
    <row r="152" spans="3:36" x14ac:dyDescent="0.25">
      <c r="C152">
        <v>71</v>
      </c>
      <c r="F152">
        <f t="shared" ref="F152:AD152" si="102">F58/SUM(F$6:F$96)</f>
        <v>8.4151472650771386E-3</v>
      </c>
      <c r="G152">
        <f t="shared" si="102"/>
        <v>8.0051925573344871E-3</v>
      </c>
      <c r="H152">
        <f t="shared" si="102"/>
        <v>1.1015284774997865E-2</v>
      </c>
      <c r="I152">
        <f t="shared" si="102"/>
        <v>9.6972763302133405E-3</v>
      </c>
      <c r="J152">
        <f t="shared" si="102"/>
        <v>1.0459204933744479E-2</v>
      </c>
      <c r="K152">
        <f t="shared" si="102"/>
        <v>1.1356622639180348E-2</v>
      </c>
      <c r="L152">
        <f t="shared" si="102"/>
        <v>9.9751638776922769E-3</v>
      </c>
      <c r="M152">
        <f t="shared" si="102"/>
        <v>1.3582137675318394E-2</v>
      </c>
      <c r="N152">
        <f t="shared" si="102"/>
        <v>1.3215683143016849E-2</v>
      </c>
      <c r="O152">
        <f t="shared" si="102"/>
        <v>1.4404432132963989E-2</v>
      </c>
      <c r="P152">
        <f t="shared" si="102"/>
        <v>1.3801756587202008E-2</v>
      </c>
      <c r="Q152">
        <f t="shared" si="102"/>
        <v>1.3560770904569475E-2</v>
      </c>
      <c r="R152">
        <f t="shared" si="102"/>
        <v>1.8258859784283512E-2</v>
      </c>
      <c r="S152">
        <f t="shared" si="102"/>
        <v>1.6775574152623332E-2</v>
      </c>
      <c r="T152">
        <f t="shared" si="102"/>
        <v>1.5568181818181818E-2</v>
      </c>
      <c r="U152">
        <f t="shared" si="102"/>
        <v>1.6008417571680884E-2</v>
      </c>
      <c r="V152">
        <f t="shared" si="102"/>
        <v>1.6860009698235666E-2</v>
      </c>
      <c r="W152">
        <f t="shared" si="102"/>
        <v>1.722413601511279E-2</v>
      </c>
      <c r="X152">
        <f t="shared" si="102"/>
        <v>1.7504504835803333E-2</v>
      </c>
      <c r="Y152">
        <f t="shared" si="102"/>
        <v>1.8494152046783625E-2</v>
      </c>
      <c r="Z152">
        <f t="shared" si="102"/>
        <v>1.780329179231915E-2</v>
      </c>
      <c r="AA152">
        <f t="shared" si="102"/>
        <v>1.7918427802463784E-2</v>
      </c>
      <c r="AB152">
        <f t="shared" si="102"/>
        <v>1.8870642466148085E-2</v>
      </c>
      <c r="AC152">
        <f t="shared" si="102"/>
        <v>1.8251440432308627E-2</v>
      </c>
      <c r="AD152">
        <f t="shared" si="102"/>
        <v>1.8124198832075201E-2</v>
      </c>
      <c r="AE152">
        <f t="shared" ref="AE152" si="103">AE58/SUM(AE$6:AE$96)</f>
        <v>1.9057494279176201E-2</v>
      </c>
      <c r="AH152">
        <v>1.3094163040801248E-2</v>
      </c>
    </row>
    <row r="153" spans="3:36" x14ac:dyDescent="0.25">
      <c r="C153">
        <v>72</v>
      </c>
      <c r="F153">
        <f t="shared" ref="F153:AD153" si="104">F59/SUM(F$6:F$96)</f>
        <v>9.1164095371669002E-3</v>
      </c>
      <c r="G153">
        <f t="shared" si="104"/>
        <v>8.39463435742103E-3</v>
      </c>
      <c r="H153">
        <f t="shared" si="104"/>
        <v>8.0266416189906931E-3</v>
      </c>
      <c r="I153">
        <f t="shared" si="104"/>
        <v>1.0962138460241168E-2</v>
      </c>
      <c r="J153">
        <f t="shared" si="104"/>
        <v>9.7508125677139759E-3</v>
      </c>
      <c r="K153">
        <f t="shared" si="104"/>
        <v>1.0286795868822779E-2</v>
      </c>
      <c r="L153">
        <f t="shared" si="104"/>
        <v>1.1196612515777044E-2</v>
      </c>
      <c r="M153">
        <f t="shared" si="104"/>
        <v>9.7533451555698852E-3</v>
      </c>
      <c r="N153">
        <f t="shared" si="104"/>
        <v>1.3495168889243792E-2</v>
      </c>
      <c r="O153">
        <f t="shared" si="104"/>
        <v>1.3058963197467353E-2</v>
      </c>
      <c r="P153">
        <f t="shared" si="104"/>
        <v>1.4272271016311167E-2</v>
      </c>
      <c r="Q153">
        <f t="shared" si="104"/>
        <v>1.3599626981659932E-2</v>
      </c>
      <c r="R153">
        <f t="shared" si="104"/>
        <v>1.3405238828967643E-2</v>
      </c>
      <c r="S153">
        <f t="shared" si="104"/>
        <v>1.7960181894608126E-2</v>
      </c>
      <c r="T153">
        <f t="shared" si="104"/>
        <v>1.6704545454545455E-2</v>
      </c>
      <c r="U153">
        <f t="shared" si="104"/>
        <v>1.533200556160986E-2</v>
      </c>
      <c r="V153">
        <f t="shared" si="104"/>
        <v>1.5852885225110969E-2</v>
      </c>
      <c r="W153">
        <f t="shared" si="104"/>
        <v>1.6853724487906063E-2</v>
      </c>
      <c r="X153">
        <f t="shared" si="104"/>
        <v>1.6989666458279703E-2</v>
      </c>
      <c r="Y153">
        <f t="shared" si="104"/>
        <v>1.739766081871345E-2</v>
      </c>
      <c r="Z153">
        <f t="shared" si="104"/>
        <v>1.8493623514878467E-2</v>
      </c>
      <c r="AA153">
        <f t="shared" si="104"/>
        <v>1.7701672627433981E-2</v>
      </c>
      <c r="AB153">
        <f t="shared" si="104"/>
        <v>1.7934312878133102E-2</v>
      </c>
      <c r="AC153">
        <f t="shared" si="104"/>
        <v>1.8752460365744551E-2</v>
      </c>
      <c r="AD153">
        <f t="shared" si="104"/>
        <v>1.8088591368750889E-2</v>
      </c>
      <c r="AE153">
        <f t="shared" ref="AE153" si="105">AE59/SUM(AE$6:AE$96)</f>
        <v>1.7806064073226546E-2</v>
      </c>
      <c r="AH153">
        <v>1.231425991297923E-2</v>
      </c>
    </row>
    <row r="154" spans="3:36" x14ac:dyDescent="0.25">
      <c r="C154">
        <v>73</v>
      </c>
      <c r="F154">
        <f t="shared" ref="F154:AD154" si="106">F60/SUM(F$6:F$96)</f>
        <v>8.4589761570827496E-3</v>
      </c>
      <c r="G154">
        <f t="shared" si="106"/>
        <v>9.0437040242319338E-3</v>
      </c>
      <c r="H154">
        <f t="shared" si="106"/>
        <v>8.2828110323627351E-3</v>
      </c>
      <c r="I154">
        <f t="shared" si="106"/>
        <v>7.9686314191753094E-3</v>
      </c>
      <c r="J154">
        <f t="shared" si="106"/>
        <v>1.1000916743061922E-2</v>
      </c>
      <c r="K154">
        <f t="shared" si="106"/>
        <v>9.5872937497428305E-3</v>
      </c>
      <c r="L154">
        <f t="shared" si="106"/>
        <v>1.0260168559912056E-2</v>
      </c>
      <c r="M154">
        <f t="shared" si="106"/>
        <v>1.1163952926003546E-2</v>
      </c>
      <c r="N154">
        <f t="shared" si="106"/>
        <v>9.6222949772418742E-3</v>
      </c>
      <c r="O154">
        <f t="shared" si="106"/>
        <v>1.3335971507716661E-2</v>
      </c>
      <c r="P154">
        <f t="shared" si="106"/>
        <v>1.2939146800501882E-2</v>
      </c>
      <c r="Q154">
        <f t="shared" si="106"/>
        <v>1.4143612060926328E-2</v>
      </c>
      <c r="R154">
        <f t="shared" si="106"/>
        <v>1.3559322033898305E-2</v>
      </c>
      <c r="S154">
        <f t="shared" si="106"/>
        <v>1.3374603538537965E-2</v>
      </c>
      <c r="T154">
        <f t="shared" si="106"/>
        <v>1.7765151515151515E-2</v>
      </c>
      <c r="U154">
        <f t="shared" si="106"/>
        <v>1.6684829581751909E-2</v>
      </c>
      <c r="V154">
        <f t="shared" si="106"/>
        <v>1.514416800328248E-2</v>
      </c>
      <c r="W154">
        <f t="shared" si="106"/>
        <v>1.5779531059006556E-2</v>
      </c>
      <c r="X154">
        <f t="shared" si="106"/>
        <v>1.6658698929871658E-2</v>
      </c>
      <c r="Y154">
        <f t="shared" si="106"/>
        <v>1.692251461988304E-2</v>
      </c>
      <c r="Z154">
        <f t="shared" si="106"/>
        <v>1.7221959815427096E-2</v>
      </c>
      <c r="AA154">
        <f t="shared" si="106"/>
        <v>1.8171308839998554E-2</v>
      </c>
      <c r="AB154">
        <f t="shared" si="106"/>
        <v>1.7538173437049841E-2</v>
      </c>
      <c r="AC154">
        <f t="shared" si="106"/>
        <v>1.7678846222667573E-2</v>
      </c>
      <c r="AD154">
        <f t="shared" si="106"/>
        <v>1.858709585529127E-2</v>
      </c>
      <c r="AE154">
        <f t="shared" ref="AE154" si="107">AE60/SUM(AE$6:AE$96)</f>
        <v>1.823512585812357E-2</v>
      </c>
      <c r="AF154">
        <f>SUM(AE150:AE154)</f>
        <v>9.2927631578947373E-2</v>
      </c>
      <c r="AH154">
        <v>1.190378458254659E-2</v>
      </c>
      <c r="AI154">
        <v>6.3952056481405464E-2</v>
      </c>
      <c r="AJ154">
        <v>6.7237530788177305E-2</v>
      </c>
    </row>
    <row r="155" spans="3:36" x14ac:dyDescent="0.25">
      <c r="C155">
        <v>74</v>
      </c>
      <c r="F155">
        <f t="shared" ref="F155:AD155" si="108">F61/SUM(F$6:F$96)</f>
        <v>8.3274894810659184E-3</v>
      </c>
      <c r="G155">
        <f t="shared" si="108"/>
        <v>8.4379056685417574E-3</v>
      </c>
      <c r="H155">
        <f t="shared" si="108"/>
        <v>8.9659294680215183E-3</v>
      </c>
      <c r="I155">
        <f t="shared" si="108"/>
        <v>8.1794417741799484E-3</v>
      </c>
      <c r="J155">
        <f t="shared" si="108"/>
        <v>8.0423368614051163E-3</v>
      </c>
      <c r="K155">
        <f t="shared" si="108"/>
        <v>1.0862856437476854E-2</v>
      </c>
      <c r="L155">
        <f t="shared" si="108"/>
        <v>9.6087292862668452E-3</v>
      </c>
      <c r="M155">
        <f t="shared" si="108"/>
        <v>1.0438497501209093E-2</v>
      </c>
      <c r="N155">
        <f t="shared" si="108"/>
        <v>1.1219356384252975E-2</v>
      </c>
      <c r="O155">
        <f t="shared" si="108"/>
        <v>9.5765730114760594E-3</v>
      </c>
      <c r="P155">
        <f t="shared" si="108"/>
        <v>1.3292032622333751E-2</v>
      </c>
      <c r="Q155">
        <f t="shared" si="108"/>
        <v>1.2705937208579422E-2</v>
      </c>
      <c r="R155">
        <f t="shared" si="108"/>
        <v>1.4098613251155623E-2</v>
      </c>
      <c r="S155">
        <f t="shared" si="108"/>
        <v>1.3451029844472467E-2</v>
      </c>
      <c r="T155">
        <f t="shared" si="108"/>
        <v>1.321969696969697E-2</v>
      </c>
      <c r="U155">
        <f t="shared" si="108"/>
        <v>1.7624290706850551E-2</v>
      </c>
      <c r="V155">
        <f t="shared" si="108"/>
        <v>1.6636204259763511E-2</v>
      </c>
      <c r="W155">
        <f t="shared" si="108"/>
        <v>1.4964625699151758E-2</v>
      </c>
      <c r="X155">
        <f t="shared" si="108"/>
        <v>1.5739344684293752E-2</v>
      </c>
      <c r="Y155">
        <f t="shared" si="108"/>
        <v>1.6593567251461987E-2</v>
      </c>
      <c r="Z155">
        <f t="shared" si="108"/>
        <v>1.6531628092867783E-2</v>
      </c>
      <c r="AA155">
        <f t="shared" si="108"/>
        <v>1.7051407102344568E-2</v>
      </c>
      <c r="AB155">
        <f t="shared" si="108"/>
        <v>1.8042350907519447E-2</v>
      </c>
      <c r="AC155">
        <f t="shared" si="108"/>
        <v>1.7428336255949611E-2</v>
      </c>
      <c r="AD155">
        <f t="shared" si="108"/>
        <v>1.7483264492237572E-2</v>
      </c>
      <c r="AE155">
        <f t="shared" ref="AE155" si="109">AE61/SUM(AE$6:AE$96)</f>
        <v>1.855692219679634E-2</v>
      </c>
      <c r="AH155">
        <v>1.2971020441671456E-2</v>
      </c>
    </row>
    <row r="156" spans="3:36" x14ac:dyDescent="0.25">
      <c r="C156">
        <v>75</v>
      </c>
      <c r="F156">
        <f t="shared" ref="F156:AD156" si="110">F62/SUM(F$6:F$96)</f>
        <v>5.8292426367461429E-3</v>
      </c>
      <c r="G156">
        <f t="shared" si="110"/>
        <v>8.39463435742103E-3</v>
      </c>
      <c r="H156">
        <f t="shared" si="110"/>
        <v>8.4535906412774309E-3</v>
      </c>
      <c r="I156">
        <f t="shared" si="110"/>
        <v>8.8540349101947895E-3</v>
      </c>
      <c r="J156">
        <f t="shared" si="110"/>
        <v>8.1673472789399112E-3</v>
      </c>
      <c r="K156">
        <f t="shared" si="110"/>
        <v>8.0648479611570584E-3</v>
      </c>
      <c r="L156">
        <f t="shared" si="110"/>
        <v>1.0708033060543137E-2</v>
      </c>
      <c r="M156">
        <f t="shared" si="110"/>
        <v>9.5518297597936477E-3</v>
      </c>
      <c r="N156">
        <f t="shared" si="110"/>
        <v>1.0380899145572147E-2</v>
      </c>
      <c r="O156">
        <f t="shared" si="110"/>
        <v>1.1040759794222399E-2</v>
      </c>
      <c r="P156">
        <f t="shared" si="110"/>
        <v>9.4887076537013802E-3</v>
      </c>
      <c r="Q156">
        <f t="shared" si="110"/>
        <v>1.3211066210755362E-2</v>
      </c>
      <c r="R156">
        <f t="shared" si="110"/>
        <v>1.2519260400616333E-2</v>
      </c>
      <c r="S156">
        <f t="shared" si="110"/>
        <v>1.3909587680079483E-2</v>
      </c>
      <c r="T156">
        <f t="shared" si="110"/>
        <v>1.3295454545454546E-2</v>
      </c>
      <c r="U156">
        <f t="shared" si="110"/>
        <v>1.3114877306377061E-2</v>
      </c>
      <c r="V156">
        <f t="shared" si="110"/>
        <v>1.7382222388004027E-2</v>
      </c>
      <c r="W156">
        <f t="shared" si="110"/>
        <v>1.6409230655257991E-2</v>
      </c>
      <c r="X156">
        <f t="shared" si="110"/>
        <v>1.4636119589600264E-2</v>
      </c>
      <c r="Y156">
        <f t="shared" si="110"/>
        <v>1.5497076023391813E-2</v>
      </c>
      <c r="Z156">
        <f t="shared" si="110"/>
        <v>1.6313628601533264E-2</v>
      </c>
      <c r="AA156">
        <f t="shared" si="110"/>
        <v>1.6292763989740253E-2</v>
      </c>
      <c r="AB156">
        <f t="shared" si="110"/>
        <v>1.6817919907807549E-2</v>
      </c>
      <c r="AC156">
        <f t="shared" si="110"/>
        <v>1.7750420498872706E-2</v>
      </c>
      <c r="AD156">
        <f t="shared" si="110"/>
        <v>1.7483264492237572E-2</v>
      </c>
      <c r="AE156">
        <f t="shared" ref="AE156" si="111">AE62/SUM(AE$6:AE$96)</f>
        <v>1.7341247139588102E-2</v>
      </c>
      <c r="AH156">
        <v>1.3094163040801248E-2</v>
      </c>
    </row>
    <row r="157" spans="3:36" x14ac:dyDescent="0.25">
      <c r="C157">
        <v>76</v>
      </c>
      <c r="F157">
        <f t="shared" ref="F157:AD157" si="112">F63/SUM(F$6:F$96)</f>
        <v>6.5743338008415145E-3</v>
      </c>
      <c r="G157">
        <f t="shared" si="112"/>
        <v>5.7983556901774124E-3</v>
      </c>
      <c r="H157">
        <f t="shared" si="112"/>
        <v>8.240116130134062E-3</v>
      </c>
      <c r="I157">
        <f t="shared" si="112"/>
        <v>8.3902521291845857E-3</v>
      </c>
      <c r="J157">
        <f t="shared" si="112"/>
        <v>8.6673889490790895E-3</v>
      </c>
      <c r="K157">
        <f t="shared" si="112"/>
        <v>8.0237007776817679E-3</v>
      </c>
      <c r="L157">
        <f t="shared" si="112"/>
        <v>7.817271283742518E-3</v>
      </c>
      <c r="M157">
        <f t="shared" si="112"/>
        <v>1.0519103659519587E-2</v>
      </c>
      <c r="N157">
        <f t="shared" si="112"/>
        <v>9.4226623013654882E-3</v>
      </c>
      <c r="O157">
        <f t="shared" si="112"/>
        <v>1.0051444400474872E-2</v>
      </c>
      <c r="P157">
        <f t="shared" si="112"/>
        <v>1.0821831869510665E-2</v>
      </c>
      <c r="Q157">
        <f t="shared" si="112"/>
        <v>9.5197388871619514E-3</v>
      </c>
      <c r="R157">
        <f t="shared" si="112"/>
        <v>1.3097072419106317E-2</v>
      </c>
      <c r="S157">
        <f t="shared" si="112"/>
        <v>1.238106156138943E-2</v>
      </c>
      <c r="T157">
        <f t="shared" si="112"/>
        <v>1.3636363636363636E-2</v>
      </c>
      <c r="U157">
        <f t="shared" si="112"/>
        <v>1.3114877306377061E-2</v>
      </c>
      <c r="V157">
        <f t="shared" si="112"/>
        <v>1.290611361856093E-2</v>
      </c>
      <c r="W157">
        <f t="shared" si="112"/>
        <v>1.7113012556950771E-2</v>
      </c>
      <c r="X157">
        <f t="shared" si="112"/>
        <v>1.5923215533409332E-2</v>
      </c>
      <c r="Y157">
        <f t="shared" si="112"/>
        <v>1.425438596491228E-2</v>
      </c>
      <c r="Z157">
        <f t="shared" si="112"/>
        <v>1.5150964647749156E-2</v>
      </c>
      <c r="AA157">
        <f t="shared" si="112"/>
        <v>1.6039882952205483E-2</v>
      </c>
      <c r="AB157">
        <f t="shared" si="112"/>
        <v>1.5953615672716796E-2</v>
      </c>
      <c r="AC157">
        <f t="shared" si="112"/>
        <v>1.6426296389077766E-2</v>
      </c>
      <c r="AD157">
        <f t="shared" si="112"/>
        <v>1.7198404785643072E-2</v>
      </c>
      <c r="AE157">
        <f t="shared" ref="AE157" si="113">AE63/SUM(AE$6:AE$96)</f>
        <v>1.7341247139588102E-2</v>
      </c>
      <c r="AH157">
        <v>1.0877596256464986E-2</v>
      </c>
    </row>
    <row r="158" spans="3:36" x14ac:dyDescent="0.25">
      <c r="C158">
        <v>77</v>
      </c>
      <c r="F158">
        <f t="shared" ref="F158:AD158" si="114">F64/SUM(F$6:F$96)</f>
        <v>6.5743338008415145E-3</v>
      </c>
      <c r="G158">
        <f t="shared" si="114"/>
        <v>6.4906966681090436E-3</v>
      </c>
      <c r="H158">
        <f t="shared" si="114"/>
        <v>5.80650670309965E-3</v>
      </c>
      <c r="I158">
        <f t="shared" si="114"/>
        <v>8.0529555611771643E-3</v>
      </c>
      <c r="J158">
        <f t="shared" si="114"/>
        <v>8.1256771397616463E-3</v>
      </c>
      <c r="K158">
        <f t="shared" si="114"/>
        <v>8.5997613463358429E-3</v>
      </c>
      <c r="L158">
        <f t="shared" si="114"/>
        <v>7.9394161475509952E-3</v>
      </c>
      <c r="M158">
        <f t="shared" si="114"/>
        <v>7.5769788811865229E-3</v>
      </c>
      <c r="N158">
        <f t="shared" si="114"/>
        <v>1.0460752215922702E-2</v>
      </c>
      <c r="O158">
        <f t="shared" si="114"/>
        <v>9.2204194697269488E-3</v>
      </c>
      <c r="P158">
        <f t="shared" si="114"/>
        <v>9.8023839397741539E-3</v>
      </c>
      <c r="Q158">
        <f t="shared" si="114"/>
        <v>1.0491140814423375E-2</v>
      </c>
      <c r="R158">
        <f t="shared" si="114"/>
        <v>9.3990755007704162E-3</v>
      </c>
      <c r="S158">
        <f t="shared" si="114"/>
        <v>1.2763193091061944E-2</v>
      </c>
      <c r="T158">
        <f t="shared" si="114"/>
        <v>1.2196969696969697E-2</v>
      </c>
      <c r="U158">
        <f t="shared" si="114"/>
        <v>1.3528240201420466E-2</v>
      </c>
      <c r="V158">
        <f t="shared" si="114"/>
        <v>1.290611361856093E-2</v>
      </c>
      <c r="W158">
        <f t="shared" si="114"/>
        <v>1.2705115383190725E-2</v>
      </c>
      <c r="X158">
        <f t="shared" si="114"/>
        <v>1.6952892288456589E-2</v>
      </c>
      <c r="Y158">
        <f t="shared" si="114"/>
        <v>1.5533625730994151E-2</v>
      </c>
      <c r="Z158">
        <f t="shared" si="114"/>
        <v>1.4133633688188062E-2</v>
      </c>
      <c r="AA158">
        <f t="shared" si="114"/>
        <v>1.4992232939561432E-2</v>
      </c>
      <c r="AB158">
        <f t="shared" si="114"/>
        <v>1.5701526937481995E-2</v>
      </c>
      <c r="AC158">
        <f t="shared" si="114"/>
        <v>1.5603192212718749E-2</v>
      </c>
      <c r="AD158">
        <f t="shared" si="114"/>
        <v>1.6058965959265061E-2</v>
      </c>
      <c r="AE158">
        <f t="shared" ref="AE158" si="115">AE64/SUM(AE$6:AE$96)</f>
        <v>1.709096109839817E-2</v>
      </c>
      <c r="AH158">
        <v>1.1862737049503325E-2</v>
      </c>
    </row>
    <row r="159" spans="3:36" x14ac:dyDescent="0.25">
      <c r="C159">
        <v>78</v>
      </c>
      <c r="F159">
        <f t="shared" ref="F159:AD159" si="116">F65/SUM(F$6:F$96)</f>
        <v>5.7854137447405328E-3</v>
      </c>
      <c r="G159">
        <f t="shared" si="116"/>
        <v>6.6637819125919514E-3</v>
      </c>
      <c r="H159">
        <f t="shared" si="116"/>
        <v>6.5323200409871064E-3</v>
      </c>
      <c r="I159">
        <f t="shared" si="116"/>
        <v>5.9026899401298594E-3</v>
      </c>
      <c r="J159">
        <f t="shared" si="116"/>
        <v>7.958996583048588E-3</v>
      </c>
      <c r="K159">
        <f t="shared" si="116"/>
        <v>7.9825535942064773E-3</v>
      </c>
      <c r="L159">
        <f t="shared" si="116"/>
        <v>8.2651357843736006E-3</v>
      </c>
      <c r="M159">
        <f t="shared" si="116"/>
        <v>7.859100435273254E-3</v>
      </c>
      <c r="N159">
        <f t="shared" si="116"/>
        <v>7.6259682184780008E-3</v>
      </c>
      <c r="O159">
        <f t="shared" si="116"/>
        <v>1.036802532647408E-2</v>
      </c>
      <c r="P159">
        <f t="shared" si="116"/>
        <v>9.1358218318695113E-3</v>
      </c>
      <c r="Q159">
        <f t="shared" si="116"/>
        <v>9.67516319552378E-3</v>
      </c>
      <c r="R159">
        <f t="shared" si="116"/>
        <v>1.0285053929121726E-2</v>
      </c>
      <c r="S159">
        <f t="shared" si="116"/>
        <v>9.4386487829110789E-3</v>
      </c>
      <c r="T159">
        <f t="shared" si="116"/>
        <v>1.2613636363636363E-2</v>
      </c>
      <c r="U159">
        <f t="shared" si="116"/>
        <v>1.2137837736274472E-2</v>
      </c>
      <c r="V159">
        <f t="shared" si="116"/>
        <v>1.3279122682681188E-2</v>
      </c>
      <c r="W159">
        <f t="shared" si="116"/>
        <v>1.2668074230470052E-2</v>
      </c>
      <c r="X159">
        <f t="shared" si="116"/>
        <v>1.2613540249328871E-2</v>
      </c>
      <c r="Y159">
        <f t="shared" si="116"/>
        <v>1.6812865497076022E-2</v>
      </c>
      <c r="Z159">
        <f t="shared" si="116"/>
        <v>1.5187297896304909E-2</v>
      </c>
      <c r="AA159">
        <f t="shared" si="116"/>
        <v>1.3727827751887576E-2</v>
      </c>
      <c r="AB159">
        <f t="shared" si="116"/>
        <v>1.4405070584845865E-2</v>
      </c>
      <c r="AC159">
        <f t="shared" si="116"/>
        <v>1.5460043660308485E-2</v>
      </c>
      <c r="AD159">
        <f t="shared" si="116"/>
        <v>1.5239994302805869E-2</v>
      </c>
      <c r="AE159">
        <f t="shared" ref="AE159" si="117">AE65/SUM(AE$6:AE$96)</f>
        <v>1.5803775743707095E-2</v>
      </c>
      <c r="AF159">
        <f>SUM(AE155:AE159)</f>
        <v>8.6134153318077805E-2</v>
      </c>
      <c r="AH159">
        <v>1.1123881454724571E-2</v>
      </c>
      <c r="AI159">
        <v>5.9929398243165587E-2</v>
      </c>
      <c r="AJ159">
        <v>5.91594827586207E-2</v>
      </c>
    </row>
    <row r="160" spans="3:36" x14ac:dyDescent="0.25">
      <c r="C160">
        <v>79</v>
      </c>
      <c r="F160">
        <f t="shared" ref="F160:AD160" si="118">F66/SUM(F$6:F$96)</f>
        <v>5.2156381486676015E-3</v>
      </c>
      <c r="G160">
        <f t="shared" si="118"/>
        <v>5.9281696235395928E-3</v>
      </c>
      <c r="H160">
        <f t="shared" si="118"/>
        <v>6.6177098454444543E-3</v>
      </c>
      <c r="I160">
        <f t="shared" si="118"/>
        <v>6.4929589341428447E-3</v>
      </c>
      <c r="J160">
        <f t="shared" si="118"/>
        <v>5.7921493457788152E-3</v>
      </c>
      <c r="K160">
        <f t="shared" si="118"/>
        <v>7.8591120437806038E-3</v>
      </c>
      <c r="L160">
        <f t="shared" si="118"/>
        <v>7.817271283742518E-3</v>
      </c>
      <c r="M160">
        <f t="shared" si="118"/>
        <v>8.0203127518942447E-3</v>
      </c>
      <c r="N160">
        <f t="shared" si="118"/>
        <v>7.7856743591791103E-3</v>
      </c>
      <c r="O160">
        <f t="shared" si="118"/>
        <v>7.6375148397309061E-3</v>
      </c>
      <c r="P160">
        <f t="shared" si="118"/>
        <v>1.0116060225846926E-2</v>
      </c>
      <c r="Q160">
        <f t="shared" si="118"/>
        <v>9.0923220391669266E-3</v>
      </c>
      <c r="R160">
        <f t="shared" si="118"/>
        <v>9.5916795069337438E-3</v>
      </c>
      <c r="S160">
        <f t="shared" si="118"/>
        <v>1.0241124995223356E-2</v>
      </c>
      <c r="T160">
        <f t="shared" si="118"/>
        <v>9.2045454545454548E-3</v>
      </c>
      <c r="U160">
        <f t="shared" si="118"/>
        <v>1.2400886851302093E-2</v>
      </c>
      <c r="V160">
        <f t="shared" si="118"/>
        <v>1.1898989145436235E-2</v>
      </c>
      <c r="W160">
        <f t="shared" si="118"/>
        <v>1.3075526910397452E-2</v>
      </c>
      <c r="X160">
        <f t="shared" si="118"/>
        <v>1.2392895230390173E-2</v>
      </c>
      <c r="Y160">
        <f t="shared" si="118"/>
        <v>1.2609649122807017E-2</v>
      </c>
      <c r="Z160">
        <f t="shared" si="118"/>
        <v>1.6531628092867783E-2</v>
      </c>
      <c r="AA160">
        <f t="shared" si="118"/>
        <v>1.5064484664571366E-2</v>
      </c>
      <c r="AB160">
        <f t="shared" si="118"/>
        <v>1.3432728320368769E-2</v>
      </c>
      <c r="AC160">
        <f t="shared" si="118"/>
        <v>1.4207493826718678E-2</v>
      </c>
      <c r="AD160">
        <f t="shared" si="118"/>
        <v>1.5382424156103119E-2</v>
      </c>
      <c r="AE160">
        <f t="shared" ref="AE160" si="119">AE66/SUM(AE$6:AE$96)</f>
        <v>1.5088672768878719E-2</v>
      </c>
      <c r="AH160">
        <v>8.0453164764797639E-3</v>
      </c>
    </row>
    <row r="161" spans="3:36" x14ac:dyDescent="0.25">
      <c r="C161">
        <v>80</v>
      </c>
      <c r="F161">
        <f t="shared" ref="F161:AD161" si="120">F67/SUM(F$6:F$96)</f>
        <v>4.9088359046283309E-3</v>
      </c>
      <c r="G161">
        <f t="shared" si="120"/>
        <v>5.1492860233665078E-3</v>
      </c>
      <c r="H161">
        <f t="shared" si="120"/>
        <v>5.80650670309965E-3</v>
      </c>
      <c r="I161">
        <f t="shared" si="120"/>
        <v>6.5351210051437731E-3</v>
      </c>
      <c r="J161">
        <f t="shared" si="120"/>
        <v>6.2921910159179934E-3</v>
      </c>
      <c r="K161">
        <f t="shared" si="120"/>
        <v>5.6371641361148833E-3</v>
      </c>
      <c r="L161">
        <f t="shared" si="120"/>
        <v>7.7765563291396934E-3</v>
      </c>
      <c r="M161">
        <f t="shared" si="120"/>
        <v>7.697888118652265E-3</v>
      </c>
      <c r="N161">
        <f t="shared" si="120"/>
        <v>7.7856743591791103E-3</v>
      </c>
      <c r="O161">
        <f t="shared" si="120"/>
        <v>7.5187969924812026E-3</v>
      </c>
      <c r="P161">
        <f t="shared" si="120"/>
        <v>7.5282308657465494E-3</v>
      </c>
      <c r="Q161">
        <f t="shared" si="120"/>
        <v>1.0102580043518807E-2</v>
      </c>
      <c r="R161">
        <f t="shared" si="120"/>
        <v>9.0138674884437595E-3</v>
      </c>
      <c r="S161">
        <f t="shared" si="120"/>
        <v>9.4386487829110789E-3</v>
      </c>
      <c r="T161">
        <f t="shared" si="120"/>
        <v>0.01</v>
      </c>
      <c r="U161">
        <f t="shared" si="120"/>
        <v>9.1691405809627598E-3</v>
      </c>
      <c r="V161">
        <f t="shared" si="120"/>
        <v>1.212279458390839E-2</v>
      </c>
      <c r="W161">
        <f t="shared" si="120"/>
        <v>1.1779086565173909E-2</v>
      </c>
      <c r="X161">
        <f t="shared" si="120"/>
        <v>1.2981281947560035E-2</v>
      </c>
      <c r="Y161">
        <f t="shared" si="120"/>
        <v>1.2244152046783625E-2</v>
      </c>
      <c r="Z161">
        <f t="shared" si="120"/>
        <v>1.249863750317916E-2</v>
      </c>
      <c r="AA161">
        <f t="shared" si="120"/>
        <v>1.6112134677215419E-2</v>
      </c>
      <c r="AB161">
        <f t="shared" si="120"/>
        <v>1.4837222702391241E-2</v>
      </c>
      <c r="AC161">
        <f t="shared" si="120"/>
        <v>1.3169666821744265E-2</v>
      </c>
      <c r="AD161">
        <f t="shared" si="120"/>
        <v>1.410055547642786E-2</v>
      </c>
      <c r="AE161">
        <f t="shared" ref="AE161" si="121">AE67/SUM(AE$6:AE$96)</f>
        <v>1.5267448512585812E-2</v>
      </c>
      <c r="AH161">
        <v>8.8662671373450457E-3</v>
      </c>
    </row>
    <row r="162" spans="3:36" x14ac:dyDescent="0.25">
      <c r="C162">
        <v>81</v>
      </c>
      <c r="F162">
        <f t="shared" ref="F162:AD162" si="122">F68/SUM(F$6:F$96)</f>
        <v>4.9088359046283309E-3</v>
      </c>
      <c r="G162">
        <f t="shared" si="122"/>
        <v>5.0194720900043274E-3</v>
      </c>
      <c r="H162">
        <f t="shared" si="122"/>
        <v>5.0806933652121937E-3</v>
      </c>
      <c r="I162">
        <f t="shared" si="122"/>
        <v>5.8183657981280045E-3</v>
      </c>
      <c r="J162">
        <f t="shared" si="122"/>
        <v>6.4172014334527875E-3</v>
      </c>
      <c r="K162">
        <f t="shared" si="122"/>
        <v>6.0897831543430848E-3</v>
      </c>
      <c r="L162">
        <f t="shared" si="122"/>
        <v>5.5372338259842844E-3</v>
      </c>
      <c r="M162">
        <f t="shared" si="122"/>
        <v>7.6575850394970174E-3</v>
      </c>
      <c r="N162">
        <f t="shared" si="122"/>
        <v>7.6259682184780008E-3</v>
      </c>
      <c r="O162">
        <f t="shared" si="122"/>
        <v>7.6375148397309061E-3</v>
      </c>
      <c r="P162">
        <f t="shared" si="122"/>
        <v>7.3321831869510665E-3</v>
      </c>
      <c r="Q162">
        <f t="shared" si="122"/>
        <v>7.3437985700963628E-3</v>
      </c>
      <c r="R162">
        <f t="shared" si="122"/>
        <v>9.8998459167950695E-3</v>
      </c>
      <c r="S162">
        <f t="shared" si="122"/>
        <v>8.9036646413695603E-3</v>
      </c>
      <c r="T162">
        <f t="shared" si="122"/>
        <v>9.3181818181818175E-3</v>
      </c>
      <c r="U162">
        <f t="shared" si="122"/>
        <v>9.7703957010258913E-3</v>
      </c>
      <c r="V162">
        <f t="shared" si="122"/>
        <v>9.1387220709463236E-3</v>
      </c>
      <c r="W162">
        <f t="shared" si="122"/>
        <v>1.1705004259732563E-2</v>
      </c>
      <c r="X162">
        <f t="shared" si="122"/>
        <v>1.165741183392785E-2</v>
      </c>
      <c r="Y162">
        <f t="shared" si="122"/>
        <v>1.2609649122807017E-2</v>
      </c>
      <c r="Z162">
        <f t="shared" si="122"/>
        <v>1.1989972023398613E-2</v>
      </c>
      <c r="AA162">
        <f t="shared" si="122"/>
        <v>1.2102163939164048E-2</v>
      </c>
      <c r="AB162">
        <f t="shared" si="122"/>
        <v>1.5773552290406223E-2</v>
      </c>
      <c r="AC162">
        <f t="shared" si="122"/>
        <v>1.4672726622052034E-2</v>
      </c>
      <c r="AD162">
        <f t="shared" si="122"/>
        <v>1.2854294260076912E-2</v>
      </c>
      <c r="AE162">
        <f t="shared" ref="AE162" si="123">AE68/SUM(AE$6:AE$96)</f>
        <v>1.3944508009153318E-2</v>
      </c>
      <c r="AH162">
        <v>8.825219604301781E-3</v>
      </c>
    </row>
    <row r="163" spans="3:36" x14ac:dyDescent="0.25">
      <c r="C163">
        <v>82</v>
      </c>
      <c r="F163">
        <f t="shared" ref="F163:AD163" si="124">F69/SUM(F$6:F$96)</f>
        <v>5.2594670406732116E-3</v>
      </c>
      <c r="G163">
        <f t="shared" si="124"/>
        <v>4.7598442232799658E-3</v>
      </c>
      <c r="H163">
        <f t="shared" si="124"/>
        <v>4.9526086585261718E-3</v>
      </c>
      <c r="I163">
        <f t="shared" si="124"/>
        <v>5.0594485201113076E-3</v>
      </c>
      <c r="J163">
        <f t="shared" si="124"/>
        <v>5.6671389282440202E-3</v>
      </c>
      <c r="K163">
        <f t="shared" si="124"/>
        <v>6.2132247047689583E-3</v>
      </c>
      <c r="L163">
        <f t="shared" si="124"/>
        <v>6.0258132812181916E-3</v>
      </c>
      <c r="M163">
        <f t="shared" si="124"/>
        <v>5.4006126068031598E-3</v>
      </c>
      <c r="N163">
        <f t="shared" si="124"/>
        <v>7.426335542601613E-3</v>
      </c>
      <c r="O163">
        <f t="shared" si="124"/>
        <v>7.5187969924812026E-3</v>
      </c>
      <c r="P163">
        <f t="shared" si="124"/>
        <v>7.6458594730238394E-3</v>
      </c>
      <c r="Q163">
        <f t="shared" si="124"/>
        <v>7.3437985700963628E-3</v>
      </c>
      <c r="R163">
        <f t="shared" si="124"/>
        <v>7.2033898305084746E-3</v>
      </c>
      <c r="S163">
        <f t="shared" si="124"/>
        <v>9.6297145477473346E-3</v>
      </c>
      <c r="T163">
        <f t="shared" si="124"/>
        <v>8.7500000000000008E-3</v>
      </c>
      <c r="U163">
        <f t="shared" si="124"/>
        <v>9.1315621359588147E-3</v>
      </c>
      <c r="V163">
        <f t="shared" si="124"/>
        <v>9.698235667126711E-3</v>
      </c>
      <c r="W163">
        <f t="shared" si="124"/>
        <v>9.001000111123458E-3</v>
      </c>
      <c r="X163">
        <f t="shared" si="124"/>
        <v>1.1399992645166035E-2</v>
      </c>
      <c r="Y163">
        <f t="shared" si="124"/>
        <v>1.1366959064327485E-2</v>
      </c>
      <c r="Z163">
        <f t="shared" si="124"/>
        <v>1.2425971006067653E-2</v>
      </c>
      <c r="AA163">
        <f t="shared" si="124"/>
        <v>1.1957660489144178E-2</v>
      </c>
      <c r="AB163">
        <f t="shared" si="124"/>
        <v>1.188418323249784E-2</v>
      </c>
      <c r="AC163">
        <f t="shared" si="124"/>
        <v>1.5603192212718749E-2</v>
      </c>
      <c r="AD163">
        <f t="shared" si="124"/>
        <v>1.4456630109670987E-2</v>
      </c>
      <c r="AE163">
        <f t="shared" ref="AE163" si="125">AE69/SUM(AE$6:AE$96)</f>
        <v>1.2693077803203662E-2</v>
      </c>
      <c r="AH163">
        <v>8.414744273869141E-3</v>
      </c>
    </row>
    <row r="164" spans="3:36" x14ac:dyDescent="0.25">
      <c r="C164">
        <v>83</v>
      </c>
      <c r="F164">
        <f t="shared" ref="F164:AD164" si="126">F70/SUM(F$6:F$96)</f>
        <v>4.0322580645161289E-3</v>
      </c>
      <c r="G164">
        <f t="shared" si="126"/>
        <v>4.8896581566421462E-3</v>
      </c>
      <c r="H164">
        <f t="shared" si="126"/>
        <v>4.653744342925455E-3</v>
      </c>
      <c r="I164">
        <f t="shared" si="126"/>
        <v>4.7643140231048153E-3</v>
      </c>
      <c r="J164">
        <f t="shared" si="126"/>
        <v>4.9587465622135179E-3</v>
      </c>
      <c r="K164">
        <f t="shared" si="126"/>
        <v>5.4725754022137184E-3</v>
      </c>
      <c r="L164">
        <f t="shared" si="126"/>
        <v>6.147958145026668E-3</v>
      </c>
      <c r="M164">
        <f t="shared" si="126"/>
        <v>5.8439464775108816E-3</v>
      </c>
      <c r="N164">
        <f t="shared" si="126"/>
        <v>5.1904495727860735E-3</v>
      </c>
      <c r="O164">
        <f t="shared" si="126"/>
        <v>7.0834982192322909E-3</v>
      </c>
      <c r="P164">
        <f t="shared" si="126"/>
        <v>7.2929736511919696E-3</v>
      </c>
      <c r="Q164">
        <f t="shared" si="126"/>
        <v>7.6157911097295616E-3</v>
      </c>
      <c r="R164">
        <f t="shared" si="126"/>
        <v>7.1648690292758091E-3</v>
      </c>
      <c r="S164">
        <f t="shared" si="126"/>
        <v>7.0312201459742443E-3</v>
      </c>
      <c r="T164">
        <f t="shared" si="126"/>
        <v>9.3939393939393937E-3</v>
      </c>
      <c r="U164">
        <f t="shared" si="126"/>
        <v>8.5678854608996283E-3</v>
      </c>
      <c r="V164">
        <f t="shared" si="126"/>
        <v>8.9895184452982203E-3</v>
      </c>
      <c r="W164">
        <f t="shared" si="126"/>
        <v>9.4454939437715307E-3</v>
      </c>
      <c r="X164">
        <f t="shared" si="126"/>
        <v>8.8625749273710148E-3</v>
      </c>
      <c r="Y164">
        <f t="shared" si="126"/>
        <v>1.1330409356725146E-2</v>
      </c>
      <c r="Z164">
        <f t="shared" si="126"/>
        <v>1.1263307052283544E-2</v>
      </c>
      <c r="AA164">
        <f t="shared" si="126"/>
        <v>1.1993786351649145E-2</v>
      </c>
      <c r="AB164">
        <f t="shared" si="126"/>
        <v>1.1740132526649381E-2</v>
      </c>
      <c r="AC164">
        <f t="shared" si="126"/>
        <v>1.1416097054718534E-2</v>
      </c>
      <c r="AD164">
        <f t="shared" si="126"/>
        <v>1.5275601766130182E-2</v>
      </c>
      <c r="AE164">
        <f t="shared" ref="AE164" si="127">AE70/SUM(AE$6:AE$96)</f>
        <v>1.4230549199084667E-2</v>
      </c>
      <c r="AF164">
        <f>SUM(AE160:AE164)</f>
        <v>7.1224256292906185E-2</v>
      </c>
      <c r="AH164">
        <v>7.5527460799605945E-3</v>
      </c>
      <c r="AI164">
        <v>4.1704293571956326E-2</v>
      </c>
      <c r="AJ164">
        <v>4.3392087438423599E-2</v>
      </c>
    </row>
    <row r="165" spans="3:36" x14ac:dyDescent="0.25">
      <c r="C165">
        <v>84</v>
      </c>
      <c r="F165">
        <f t="shared" ref="F165:AD165" si="128">F71/SUM(F$6:F$96)</f>
        <v>5.6977559607293126E-3</v>
      </c>
      <c r="G165">
        <f t="shared" si="128"/>
        <v>3.9809606231068799E-3</v>
      </c>
      <c r="H165">
        <f t="shared" si="128"/>
        <v>4.8672188540688239E-3</v>
      </c>
      <c r="I165">
        <f t="shared" si="128"/>
        <v>4.5956657391011046E-3</v>
      </c>
      <c r="J165">
        <f t="shared" si="128"/>
        <v>4.7087257271439288E-3</v>
      </c>
      <c r="K165">
        <f t="shared" si="128"/>
        <v>4.937662017034934E-3</v>
      </c>
      <c r="L165">
        <f t="shared" si="128"/>
        <v>5.2929440983673307E-3</v>
      </c>
      <c r="M165">
        <f t="shared" si="128"/>
        <v>5.9648557149766246E-3</v>
      </c>
      <c r="N165">
        <f t="shared" si="128"/>
        <v>5.7494210652399586E-3</v>
      </c>
      <c r="O165">
        <f t="shared" si="128"/>
        <v>4.9070043529877323E-3</v>
      </c>
      <c r="P165">
        <f t="shared" si="128"/>
        <v>6.7832496863237139E-3</v>
      </c>
      <c r="Q165">
        <f t="shared" si="128"/>
        <v>7.1495181846440783E-3</v>
      </c>
      <c r="R165">
        <f t="shared" si="128"/>
        <v>7.5115562403697995E-3</v>
      </c>
      <c r="S165">
        <f t="shared" si="128"/>
        <v>7.0312201459742443E-3</v>
      </c>
      <c r="T165">
        <f t="shared" si="128"/>
        <v>6.9318181818181822E-3</v>
      </c>
      <c r="U165">
        <f t="shared" si="128"/>
        <v>8.981248355943031E-3</v>
      </c>
      <c r="V165">
        <f t="shared" si="128"/>
        <v>8.2808012234697297E-3</v>
      </c>
      <c r="W165">
        <f t="shared" si="128"/>
        <v>8.7417120420787489E-3</v>
      </c>
      <c r="X165">
        <f t="shared" si="128"/>
        <v>9.3406391350715264E-3</v>
      </c>
      <c r="Y165">
        <f t="shared" si="128"/>
        <v>8.7353801169590649E-3</v>
      </c>
      <c r="Z165">
        <f t="shared" si="128"/>
        <v>1.1226973803727792E-2</v>
      </c>
      <c r="AA165">
        <f t="shared" si="128"/>
        <v>1.1018388064015028E-2</v>
      </c>
      <c r="AB165">
        <f t="shared" si="128"/>
        <v>1.1632094497263037E-2</v>
      </c>
      <c r="AC165">
        <f t="shared" si="128"/>
        <v>1.1595032745231364E-2</v>
      </c>
      <c r="AD165">
        <f t="shared" si="128"/>
        <v>1.1073921093861273E-2</v>
      </c>
      <c r="AE165">
        <f t="shared" ref="AE165" si="129">AE71/SUM(AE$6:AE$96)</f>
        <v>1.5267448512585812E-2</v>
      </c>
      <c r="AH165">
        <v>5.5003694277973893E-3</v>
      </c>
    </row>
    <row r="166" spans="3:36" x14ac:dyDescent="0.25">
      <c r="C166">
        <v>85</v>
      </c>
      <c r="F166">
        <f t="shared" ref="F166:AD166" si="130">F72/SUM(F$6:F$96)</f>
        <v>2.261570827489481E-2</v>
      </c>
      <c r="G166">
        <f t="shared" si="130"/>
        <v>5.9714409346603202E-3</v>
      </c>
      <c r="H166">
        <f t="shared" si="130"/>
        <v>4.4402698317820852E-3</v>
      </c>
      <c r="I166">
        <f t="shared" si="130"/>
        <v>5.1437726621131634E-3</v>
      </c>
      <c r="J166">
        <f t="shared" si="130"/>
        <v>4.7920660055004588E-3</v>
      </c>
      <c r="K166">
        <f t="shared" si="130"/>
        <v>5.0611035674608075E-3</v>
      </c>
      <c r="L166">
        <f t="shared" si="130"/>
        <v>4.9265095069418998E-3</v>
      </c>
      <c r="M166">
        <f t="shared" si="130"/>
        <v>5.3200064484926653E-3</v>
      </c>
      <c r="N166">
        <f t="shared" si="130"/>
        <v>6.1087598818174559E-3</v>
      </c>
      <c r="O166">
        <f t="shared" si="130"/>
        <v>6.0546102097348634E-3</v>
      </c>
      <c r="P166">
        <f t="shared" si="130"/>
        <v>5.1756587202007528E-3</v>
      </c>
      <c r="Q166">
        <f t="shared" si="130"/>
        <v>7.1495181846440783E-3</v>
      </c>
      <c r="R166">
        <f t="shared" si="130"/>
        <v>7.2419106317411401E-3</v>
      </c>
      <c r="S166">
        <f t="shared" si="130"/>
        <v>7.7190568993847682E-3</v>
      </c>
      <c r="T166">
        <f t="shared" si="130"/>
        <v>7.2727272727272727E-3</v>
      </c>
      <c r="U166">
        <f t="shared" si="130"/>
        <v>7.0271692157378527E-3</v>
      </c>
      <c r="V166">
        <f t="shared" si="130"/>
        <v>9.1387220709463236E-3</v>
      </c>
      <c r="W166">
        <f t="shared" si="130"/>
        <v>8.4083416675926961E-3</v>
      </c>
      <c r="X166">
        <f t="shared" si="130"/>
        <v>8.8258007575478976E-3</v>
      </c>
      <c r="Y166">
        <f t="shared" si="130"/>
        <v>9.4663742690058485E-3</v>
      </c>
      <c r="Z166">
        <f t="shared" si="130"/>
        <v>8.8653126476038215E-3</v>
      </c>
      <c r="AA166">
        <f t="shared" si="130"/>
        <v>1.1379646689064701E-2</v>
      </c>
      <c r="AB166">
        <f t="shared" si="130"/>
        <v>1.1055891673869202E-2</v>
      </c>
      <c r="AC166">
        <f t="shared" si="130"/>
        <v>1.1559245607128798E-2</v>
      </c>
      <c r="AD166">
        <f t="shared" si="130"/>
        <v>1.1714855433698903E-2</v>
      </c>
      <c r="AE166">
        <f t="shared" ref="AE166" si="131">AE72/SUM(AE$6:AE$96)</f>
        <v>1.1513157894736841E-2</v>
      </c>
      <c r="AH166">
        <v>5.3772268286675969E-3</v>
      </c>
    </row>
    <row r="167" spans="3:36" x14ac:dyDescent="0.25">
      <c r="C167">
        <v>86</v>
      </c>
      <c r="F167">
        <f t="shared" ref="F167:AD167" si="132">F73/SUM(F$6:F$96)</f>
        <v>0</v>
      </c>
      <c r="G167">
        <f t="shared" si="132"/>
        <v>2.0986585893552574E-2</v>
      </c>
      <c r="H167">
        <f t="shared" si="132"/>
        <v>5.5930321919562802E-3</v>
      </c>
      <c r="I167">
        <f t="shared" si="132"/>
        <v>4.2583691710936841E-3</v>
      </c>
      <c r="J167">
        <f t="shared" si="132"/>
        <v>4.9170764230352529E-3</v>
      </c>
      <c r="K167">
        <f t="shared" si="132"/>
        <v>4.4850429988067316E-3</v>
      </c>
      <c r="L167">
        <f t="shared" si="132"/>
        <v>4.7636496885305971E-3</v>
      </c>
      <c r="M167">
        <f t="shared" si="132"/>
        <v>4.6348541028534583E-3</v>
      </c>
      <c r="N167">
        <f t="shared" si="132"/>
        <v>5.0706699672602414E-3</v>
      </c>
      <c r="O167">
        <f t="shared" si="132"/>
        <v>5.7776018994855557E-3</v>
      </c>
      <c r="P167">
        <f t="shared" si="132"/>
        <v>5.6461731493099125E-3</v>
      </c>
      <c r="Q167">
        <f t="shared" si="132"/>
        <v>4.9347217904880322E-3</v>
      </c>
      <c r="R167">
        <f t="shared" si="132"/>
        <v>6.9337442218798152E-3</v>
      </c>
      <c r="S167">
        <f t="shared" si="132"/>
        <v>7.0312201459742443E-3</v>
      </c>
      <c r="T167">
        <f t="shared" si="132"/>
        <v>7.3863636363636362E-3</v>
      </c>
      <c r="U167">
        <f t="shared" si="132"/>
        <v>6.9144338807260158E-3</v>
      </c>
      <c r="V167">
        <f t="shared" si="132"/>
        <v>6.7514640605766717E-3</v>
      </c>
      <c r="W167">
        <f t="shared" si="132"/>
        <v>8.7787531947994216E-3</v>
      </c>
      <c r="X167">
        <f t="shared" si="132"/>
        <v>8.0167690214393416E-3</v>
      </c>
      <c r="Y167">
        <f t="shared" si="132"/>
        <v>8.2602339181286552E-3</v>
      </c>
      <c r="Z167">
        <f t="shared" si="132"/>
        <v>8.9743123932710823E-3</v>
      </c>
      <c r="AA167">
        <f t="shared" si="132"/>
        <v>8.4895776886673175E-3</v>
      </c>
      <c r="AB167">
        <f t="shared" si="132"/>
        <v>1.0731777585710169E-2</v>
      </c>
      <c r="AC167">
        <f t="shared" si="132"/>
        <v>1.0700354292667216E-2</v>
      </c>
      <c r="AD167">
        <f t="shared" si="132"/>
        <v>1.1002706167212647E-2</v>
      </c>
      <c r="AE167">
        <f t="shared" ref="AE167" si="133">AE73/SUM(AE$6:AE$96)</f>
        <v>1.1262871853546911E-2</v>
      </c>
      <c r="AH167">
        <v>5.0077990312782199E-3</v>
      </c>
    </row>
    <row r="168" spans="3:36" x14ac:dyDescent="0.25">
      <c r="C168">
        <v>87</v>
      </c>
      <c r="F168">
        <f t="shared" ref="F168:AD168" si="134">F74/SUM(F$6:F$96)</f>
        <v>0</v>
      </c>
      <c r="G168">
        <f t="shared" si="134"/>
        <v>0</v>
      </c>
      <c r="H168">
        <f t="shared" si="134"/>
        <v>1.9596960122961318E-2</v>
      </c>
      <c r="I168">
        <f t="shared" si="134"/>
        <v>5.1859347331140908E-3</v>
      </c>
      <c r="J168">
        <f t="shared" si="134"/>
        <v>4.0420035002916906E-3</v>
      </c>
      <c r="K168">
        <f t="shared" si="134"/>
        <v>4.5261901822820231E-3</v>
      </c>
      <c r="L168">
        <f t="shared" si="134"/>
        <v>4.1529253694882126E-3</v>
      </c>
      <c r="M168">
        <f t="shared" si="134"/>
        <v>4.6348541028534583E-3</v>
      </c>
      <c r="N168">
        <f t="shared" si="134"/>
        <v>4.4318454044558015E-3</v>
      </c>
      <c r="O168">
        <f t="shared" si="134"/>
        <v>4.8278591214879303E-3</v>
      </c>
      <c r="P168">
        <f t="shared" si="134"/>
        <v>5.6461731493099125E-3</v>
      </c>
      <c r="Q168">
        <f t="shared" si="134"/>
        <v>5.1290021759403167E-3</v>
      </c>
      <c r="R168">
        <f t="shared" si="134"/>
        <v>4.5454545454545452E-3</v>
      </c>
      <c r="S168">
        <f t="shared" si="134"/>
        <v>6.4580228514654744E-3</v>
      </c>
      <c r="T168">
        <f t="shared" si="134"/>
        <v>6.5151515151515155E-3</v>
      </c>
      <c r="U168">
        <f t="shared" si="134"/>
        <v>6.9895907707339068E-3</v>
      </c>
      <c r="V168">
        <f t="shared" si="134"/>
        <v>6.7141631541646459E-3</v>
      </c>
      <c r="W168">
        <f t="shared" si="134"/>
        <v>6.2599548097936808E-3</v>
      </c>
      <c r="X168">
        <f t="shared" si="134"/>
        <v>8.4212848894936205E-3</v>
      </c>
      <c r="Y168">
        <f t="shared" si="134"/>
        <v>7.5657894736842106E-3</v>
      </c>
      <c r="Z168">
        <f t="shared" si="134"/>
        <v>7.9206481851542346E-3</v>
      </c>
      <c r="AA168">
        <f t="shared" si="134"/>
        <v>8.4895776886673175E-3</v>
      </c>
      <c r="AB168">
        <f t="shared" si="134"/>
        <v>7.8867761452031115E-3</v>
      </c>
      <c r="AC168">
        <f t="shared" si="134"/>
        <v>1.0270908635436424E-2</v>
      </c>
      <c r="AD168">
        <f t="shared" si="134"/>
        <v>1.0361771827375018E-2</v>
      </c>
      <c r="AE168">
        <f t="shared" ref="AE168" si="135">AE74/SUM(AE$6:AE$96)</f>
        <v>1.0512013729977118E-2</v>
      </c>
      <c r="AH168">
        <v>4.5562761678023152E-3</v>
      </c>
    </row>
    <row r="169" spans="3:36" x14ac:dyDescent="0.25">
      <c r="C169">
        <v>88</v>
      </c>
      <c r="F169">
        <f t="shared" ref="F169:AD169" si="136">F75/SUM(F$6:F$96)</f>
        <v>0</v>
      </c>
      <c r="G169">
        <f t="shared" si="136"/>
        <v>0</v>
      </c>
      <c r="H169">
        <f t="shared" si="136"/>
        <v>0</v>
      </c>
      <c r="I169">
        <f t="shared" si="136"/>
        <v>1.8087528459397925E-2</v>
      </c>
      <c r="J169">
        <f t="shared" si="136"/>
        <v>4.8337361446787229E-3</v>
      </c>
      <c r="K169">
        <f t="shared" si="136"/>
        <v>3.7855408797267827E-3</v>
      </c>
      <c r="L169">
        <f t="shared" si="136"/>
        <v>4.3565001425023408E-3</v>
      </c>
      <c r="M169">
        <f t="shared" si="136"/>
        <v>3.9093986780590036E-3</v>
      </c>
      <c r="N169">
        <f t="shared" si="136"/>
        <v>4.3519923341052459E-3</v>
      </c>
      <c r="O169">
        <f t="shared" si="136"/>
        <v>4.115552037989711E-3</v>
      </c>
      <c r="P169">
        <f t="shared" si="136"/>
        <v>4.6659347553324971E-3</v>
      </c>
      <c r="Q169">
        <f t="shared" si="136"/>
        <v>5.4009947155735155E-3</v>
      </c>
      <c r="R169">
        <f t="shared" si="136"/>
        <v>4.8921417565485365E-3</v>
      </c>
      <c r="S169">
        <f t="shared" si="136"/>
        <v>4.2798731323321487E-3</v>
      </c>
      <c r="T169">
        <f t="shared" si="136"/>
        <v>6.0984848484848487E-3</v>
      </c>
      <c r="U169">
        <f t="shared" si="136"/>
        <v>6.3131787606628834E-3</v>
      </c>
      <c r="V169">
        <f t="shared" si="136"/>
        <v>6.6022604349285684E-3</v>
      </c>
      <c r="W169">
        <f t="shared" si="136"/>
        <v>6.2599548097936808E-3</v>
      </c>
      <c r="X169">
        <f t="shared" si="136"/>
        <v>5.9206413415217153E-3</v>
      </c>
      <c r="Y169">
        <f t="shared" si="136"/>
        <v>7.9312865497076016E-3</v>
      </c>
      <c r="Z169">
        <f t="shared" si="136"/>
        <v>7.266649711150674E-3</v>
      </c>
      <c r="AA169">
        <f t="shared" si="136"/>
        <v>7.4419276760232652E-3</v>
      </c>
      <c r="AB169">
        <f t="shared" si="136"/>
        <v>8.1748775569000284E-3</v>
      </c>
      <c r="AC169">
        <f t="shared" si="136"/>
        <v>7.6584475539491111E-3</v>
      </c>
      <c r="AD169">
        <f t="shared" si="136"/>
        <v>9.8632673408346385E-3</v>
      </c>
      <c r="AE169">
        <f t="shared" ref="AE169" si="137">AE75/SUM(AE$6:AE$96)</f>
        <v>1.0011441647597255E-2</v>
      </c>
      <c r="AF169">
        <f>SUM(AE165:AE190)</f>
        <v>0.14902745995423339</v>
      </c>
      <c r="AH169">
        <v>4.8025613660618999E-3</v>
      </c>
      <c r="AI169">
        <v>4.4536573351941548E-2</v>
      </c>
      <c r="AJ169">
        <v>4.1852678571428603E-2</v>
      </c>
    </row>
    <row r="170" spans="3:36" x14ac:dyDescent="0.25">
      <c r="C170">
        <v>89</v>
      </c>
      <c r="F170">
        <f t="shared" ref="F170:AD170" si="138">F76/SUM(F$6:F$96)</f>
        <v>0</v>
      </c>
      <c r="G170">
        <f t="shared" si="138"/>
        <v>0</v>
      </c>
      <c r="H170">
        <f t="shared" si="138"/>
        <v>0</v>
      </c>
      <c r="I170">
        <f t="shared" si="138"/>
        <v>0</v>
      </c>
      <c r="J170">
        <f t="shared" si="138"/>
        <v>1.6876406367197266E-2</v>
      </c>
      <c r="K170">
        <f t="shared" si="138"/>
        <v>4.6496317327078965E-3</v>
      </c>
      <c r="L170">
        <f t="shared" si="138"/>
        <v>3.5014860958430031E-3</v>
      </c>
      <c r="M170">
        <f t="shared" si="138"/>
        <v>4.2318233113009833E-3</v>
      </c>
      <c r="N170">
        <f t="shared" si="138"/>
        <v>3.7131677713008065E-3</v>
      </c>
      <c r="O170">
        <f t="shared" si="138"/>
        <v>4.115552037989711E-3</v>
      </c>
      <c r="P170">
        <f t="shared" si="138"/>
        <v>3.9209535759096616E-3</v>
      </c>
      <c r="Q170">
        <f t="shared" si="138"/>
        <v>4.5073049424930057E-3</v>
      </c>
      <c r="R170">
        <f t="shared" si="138"/>
        <v>5.1232665639445304E-3</v>
      </c>
      <c r="S170">
        <f t="shared" si="138"/>
        <v>4.7384309679391647E-3</v>
      </c>
      <c r="T170">
        <f t="shared" si="138"/>
        <v>4.015151515151515E-3</v>
      </c>
      <c r="U170">
        <f t="shared" si="138"/>
        <v>5.6367667505918609E-3</v>
      </c>
      <c r="V170">
        <f t="shared" si="138"/>
        <v>5.8935432131000786E-3</v>
      </c>
      <c r="W170">
        <f t="shared" si="138"/>
        <v>6.222913657073008E-3</v>
      </c>
      <c r="X170">
        <f t="shared" si="138"/>
        <v>6.0677380208141798E-3</v>
      </c>
      <c r="Y170">
        <f t="shared" si="138"/>
        <v>5.7383040935672517E-3</v>
      </c>
      <c r="Z170">
        <f t="shared" si="138"/>
        <v>7.5573156995967011E-3</v>
      </c>
      <c r="AA170">
        <f t="shared" si="138"/>
        <v>6.9000397384487554E-3</v>
      </c>
      <c r="AB170">
        <f t="shared" si="138"/>
        <v>7.0584845865744742E-3</v>
      </c>
      <c r="AC170">
        <f t="shared" si="138"/>
        <v>7.9447446587696379E-3</v>
      </c>
      <c r="AD170">
        <f t="shared" si="138"/>
        <v>7.2995299814841187E-3</v>
      </c>
      <c r="AE170">
        <f t="shared" ref="AE170" si="139">AE76/SUM(AE$6:AE$96)</f>
        <v>9.5466247139588106E-3</v>
      </c>
      <c r="AH170">
        <v>2.1755192512929972E-3</v>
      </c>
    </row>
    <row r="171" spans="3:36" x14ac:dyDescent="0.25">
      <c r="C171">
        <v>90</v>
      </c>
      <c r="F171">
        <f t="shared" ref="F171:AD171" si="140">F77/SUM(F$6:F$96)</f>
        <v>0</v>
      </c>
      <c r="G171">
        <f t="shared" si="140"/>
        <v>0</v>
      </c>
      <c r="H171">
        <f t="shared" si="140"/>
        <v>0</v>
      </c>
      <c r="I171">
        <f t="shared" si="140"/>
        <v>0</v>
      </c>
      <c r="J171">
        <f t="shared" si="140"/>
        <v>0</v>
      </c>
      <c r="K171">
        <f t="shared" si="140"/>
        <v>1.6170843105789409E-2</v>
      </c>
      <c r="L171">
        <f t="shared" si="140"/>
        <v>4.4379300517079926E-3</v>
      </c>
      <c r="M171">
        <f t="shared" si="140"/>
        <v>3.3451555698855392E-3</v>
      </c>
      <c r="N171">
        <f t="shared" si="140"/>
        <v>3.8329473768266391E-3</v>
      </c>
      <c r="O171">
        <f t="shared" si="140"/>
        <v>3.6406806489908982E-3</v>
      </c>
      <c r="P171">
        <f t="shared" si="140"/>
        <v>3.9993726474278546E-3</v>
      </c>
      <c r="Q171">
        <f t="shared" si="140"/>
        <v>3.8078955548647808E-3</v>
      </c>
      <c r="R171">
        <f t="shared" si="140"/>
        <v>4.3528505392912168E-3</v>
      </c>
      <c r="S171">
        <f t="shared" si="140"/>
        <v>4.776644120906416E-3</v>
      </c>
      <c r="T171">
        <f t="shared" si="140"/>
        <v>4.6212121212121215E-3</v>
      </c>
      <c r="U171">
        <f t="shared" si="140"/>
        <v>3.9457367254143024E-3</v>
      </c>
      <c r="V171">
        <f t="shared" si="140"/>
        <v>5.3713305233317171E-3</v>
      </c>
      <c r="W171">
        <f t="shared" si="140"/>
        <v>5.7413786717042635E-3</v>
      </c>
      <c r="X171">
        <f t="shared" si="140"/>
        <v>5.9206413415217153E-3</v>
      </c>
      <c r="Y171">
        <f t="shared" si="140"/>
        <v>5.8845029239766086E-3</v>
      </c>
      <c r="Z171">
        <f t="shared" si="140"/>
        <v>5.3409875376957457E-3</v>
      </c>
      <c r="AA171">
        <f t="shared" si="140"/>
        <v>7.0445431884686247E-3</v>
      </c>
      <c r="AB171">
        <f t="shared" si="140"/>
        <v>6.5182944396427545E-3</v>
      </c>
      <c r="AC171">
        <f t="shared" si="140"/>
        <v>6.9069176537952257E-3</v>
      </c>
      <c r="AD171">
        <f t="shared" si="140"/>
        <v>7.6912120780515594E-3</v>
      </c>
      <c r="AE171">
        <f t="shared" ref="AE171" si="141">AE77/SUM(AE$6:AE$96)</f>
        <v>7.2582951945080092E-3</v>
      </c>
      <c r="AF171">
        <f>SUM(AE165:AE169)</f>
        <v>5.8566933638443945E-2</v>
      </c>
      <c r="AH171">
        <v>2.0934241852064691E-3</v>
      </c>
    </row>
    <row r="172" spans="3:36" x14ac:dyDescent="0.25">
      <c r="C172">
        <v>91</v>
      </c>
      <c r="F172">
        <f t="shared" ref="F172:AD172" si="142">F78/SUM(F$6:F$96)</f>
        <v>0</v>
      </c>
      <c r="G172">
        <f t="shared" si="142"/>
        <v>0</v>
      </c>
      <c r="H172">
        <f t="shared" si="142"/>
        <v>0</v>
      </c>
      <c r="I172">
        <f t="shared" si="142"/>
        <v>0</v>
      </c>
      <c r="J172">
        <f t="shared" si="142"/>
        <v>0</v>
      </c>
      <c r="K172">
        <f t="shared" si="142"/>
        <v>0</v>
      </c>
      <c r="L172">
        <f t="shared" si="142"/>
        <v>1.5064533203045478E-2</v>
      </c>
      <c r="M172">
        <f t="shared" si="142"/>
        <v>4.1109140738352411E-3</v>
      </c>
      <c r="N172">
        <f t="shared" si="142"/>
        <v>2.9944901381458119E-3</v>
      </c>
      <c r="O172">
        <f t="shared" si="142"/>
        <v>3.7198258804907003E-3</v>
      </c>
      <c r="P172">
        <f t="shared" si="142"/>
        <v>3.4896486825595984E-3</v>
      </c>
      <c r="Q172">
        <f t="shared" si="142"/>
        <v>3.8856077090456947E-3</v>
      </c>
      <c r="R172">
        <f t="shared" si="142"/>
        <v>3.5824345146379046E-3</v>
      </c>
      <c r="S172">
        <f t="shared" si="142"/>
        <v>4.2034468263976461E-3</v>
      </c>
      <c r="T172">
        <f t="shared" si="142"/>
        <v>4.507575757575758E-3</v>
      </c>
      <c r="U172">
        <f t="shared" si="142"/>
        <v>4.4718349554695429E-3</v>
      </c>
      <c r="V172">
        <f t="shared" si="142"/>
        <v>3.7300906412025812E-3</v>
      </c>
      <c r="W172">
        <f t="shared" si="142"/>
        <v>5.1487202281735008E-3</v>
      </c>
      <c r="X172">
        <f t="shared" si="142"/>
        <v>5.5161254734674365E-3</v>
      </c>
      <c r="Y172">
        <f t="shared" si="142"/>
        <v>5.7383040935672517E-3</v>
      </c>
      <c r="Z172">
        <f t="shared" si="142"/>
        <v>5.631653526141772E-3</v>
      </c>
      <c r="AA172">
        <f t="shared" si="142"/>
        <v>5.2382500632202596E-3</v>
      </c>
      <c r="AB172">
        <f t="shared" si="142"/>
        <v>6.8424085278017861E-3</v>
      </c>
      <c r="AC172">
        <f t="shared" si="142"/>
        <v>6.2985363060516055E-3</v>
      </c>
      <c r="AD172">
        <f t="shared" si="142"/>
        <v>6.6585956416464892E-3</v>
      </c>
      <c r="AE172">
        <f t="shared" ref="AE172" si="143">AE78/SUM(AE$6:AE$96)</f>
        <v>7.5443363844393593E-3</v>
      </c>
      <c r="AH172">
        <v>1.8471389869468846E-3</v>
      </c>
    </row>
    <row r="173" spans="3:36" x14ac:dyDescent="0.25">
      <c r="C173">
        <v>92</v>
      </c>
      <c r="F173">
        <f t="shared" ref="F173:AD173" si="144">F79/SUM(F$6:F$96)</f>
        <v>0</v>
      </c>
      <c r="G173">
        <f t="shared" si="144"/>
        <v>0</v>
      </c>
      <c r="H173">
        <f t="shared" si="144"/>
        <v>0</v>
      </c>
      <c r="I173">
        <f t="shared" si="144"/>
        <v>0</v>
      </c>
      <c r="J173">
        <f t="shared" si="144"/>
        <v>0</v>
      </c>
      <c r="K173">
        <f t="shared" si="144"/>
        <v>0</v>
      </c>
      <c r="L173">
        <f t="shared" si="144"/>
        <v>0</v>
      </c>
      <c r="M173">
        <f t="shared" si="144"/>
        <v>1.4347896179268096E-2</v>
      </c>
      <c r="N173">
        <f t="shared" si="144"/>
        <v>3.8329473768266391E-3</v>
      </c>
      <c r="O173">
        <f t="shared" si="144"/>
        <v>2.8888009497427779E-3</v>
      </c>
      <c r="P173">
        <f t="shared" si="144"/>
        <v>3.4504391468005019E-3</v>
      </c>
      <c r="Q173">
        <f t="shared" si="144"/>
        <v>3.4193347839602114E-3</v>
      </c>
      <c r="R173">
        <f t="shared" si="144"/>
        <v>3.7750385208012325E-3</v>
      </c>
      <c r="S173">
        <f t="shared" si="144"/>
        <v>3.4773969200198708E-3</v>
      </c>
      <c r="T173">
        <f t="shared" si="144"/>
        <v>4.1287878787878785E-3</v>
      </c>
      <c r="U173">
        <f t="shared" si="144"/>
        <v>4.2463642854458682E-3</v>
      </c>
      <c r="V173">
        <f t="shared" si="144"/>
        <v>4.2150024245589165E-3</v>
      </c>
      <c r="W173">
        <f t="shared" si="144"/>
        <v>3.5189095084639035E-3</v>
      </c>
      <c r="X173">
        <f t="shared" si="144"/>
        <v>4.9645129261206931E-3</v>
      </c>
      <c r="Y173">
        <f t="shared" si="144"/>
        <v>5.263157894736842E-3</v>
      </c>
      <c r="Z173">
        <f t="shared" si="144"/>
        <v>5.631653526141772E-3</v>
      </c>
      <c r="AA173">
        <f t="shared" si="144"/>
        <v>5.5272569632599982E-3</v>
      </c>
      <c r="AB173">
        <f t="shared" si="144"/>
        <v>5.0057620282339382E-3</v>
      </c>
      <c r="AC173">
        <f t="shared" si="144"/>
        <v>6.6564076870772645E-3</v>
      </c>
      <c r="AD173">
        <f t="shared" si="144"/>
        <v>6.0176613018088588E-3</v>
      </c>
      <c r="AE173">
        <f t="shared" ref="AE173" si="145">AE79/SUM(AE$6:AE$96)</f>
        <v>6.5789473684210523E-3</v>
      </c>
      <c r="AH173">
        <v>1.6008537886872999E-3</v>
      </c>
    </row>
    <row r="174" spans="3:36" x14ac:dyDescent="0.25">
      <c r="C174">
        <v>93</v>
      </c>
      <c r="F174">
        <f t="shared" ref="F174:AD174" si="146">F80/SUM(F$6:F$96)</f>
        <v>0</v>
      </c>
      <c r="G174">
        <f t="shared" si="146"/>
        <v>0</v>
      </c>
      <c r="H174">
        <f t="shared" si="146"/>
        <v>0</v>
      </c>
      <c r="I174">
        <f t="shared" si="146"/>
        <v>0</v>
      </c>
      <c r="J174">
        <f t="shared" si="146"/>
        <v>0</v>
      </c>
      <c r="K174">
        <f t="shared" si="146"/>
        <v>0</v>
      </c>
      <c r="L174">
        <f t="shared" si="146"/>
        <v>0</v>
      </c>
      <c r="M174">
        <f t="shared" si="146"/>
        <v>0</v>
      </c>
      <c r="N174">
        <f t="shared" si="146"/>
        <v>1.3575021959594346E-2</v>
      </c>
      <c r="O174">
        <f t="shared" si="146"/>
        <v>3.5219628017411951E-3</v>
      </c>
      <c r="P174">
        <f t="shared" si="146"/>
        <v>2.7838770388958593E-3</v>
      </c>
      <c r="Q174">
        <f t="shared" si="146"/>
        <v>3.2250543985079265E-3</v>
      </c>
      <c r="R174">
        <f t="shared" si="146"/>
        <v>3.0431432973805853E-3</v>
      </c>
      <c r="S174">
        <f t="shared" si="146"/>
        <v>3.6684626848561275E-3</v>
      </c>
      <c r="T174">
        <f t="shared" si="146"/>
        <v>3.2954545454545454E-3</v>
      </c>
      <c r="U174">
        <f t="shared" si="146"/>
        <v>3.9457367254143024E-3</v>
      </c>
      <c r="V174">
        <f t="shared" si="146"/>
        <v>4.0284978924987874E-3</v>
      </c>
      <c r="W174">
        <f t="shared" si="146"/>
        <v>4.0004444938326481E-3</v>
      </c>
      <c r="X174">
        <f t="shared" si="146"/>
        <v>3.309675284080462E-3</v>
      </c>
      <c r="Y174">
        <f t="shared" si="146"/>
        <v>4.7880116959064332E-3</v>
      </c>
      <c r="Z174">
        <f t="shared" si="146"/>
        <v>4.9776550521382114E-3</v>
      </c>
      <c r="AA174">
        <f t="shared" si="146"/>
        <v>5.4550052382500635E-3</v>
      </c>
      <c r="AB174">
        <f t="shared" si="146"/>
        <v>5.4379141457793143E-3</v>
      </c>
      <c r="AC174">
        <f t="shared" si="146"/>
        <v>4.75968936764127E-3</v>
      </c>
      <c r="AD174">
        <f t="shared" si="146"/>
        <v>6.5161657883492383E-3</v>
      </c>
      <c r="AE174">
        <f t="shared" ref="AE174" si="147">AE80/SUM(AE$6:AE$96)</f>
        <v>5.7923340961098402E-3</v>
      </c>
      <c r="AF174">
        <f>SUM(AE170:AE174)</f>
        <v>3.6720537757437069E-2</v>
      </c>
      <c r="AH174">
        <v>1.8471389869468846E-3</v>
      </c>
    </row>
    <row r="175" spans="3:36" x14ac:dyDescent="0.25">
      <c r="C175">
        <v>94</v>
      </c>
      <c r="F175">
        <f t="shared" ref="F175:AD175" si="148">F81/SUM(F$6:F$96)</f>
        <v>0</v>
      </c>
      <c r="G175">
        <f t="shared" si="148"/>
        <v>0</v>
      </c>
      <c r="H175">
        <f t="shared" si="148"/>
        <v>0</v>
      </c>
      <c r="I175">
        <f t="shared" si="148"/>
        <v>0</v>
      </c>
      <c r="J175">
        <f t="shared" si="148"/>
        <v>0</v>
      </c>
      <c r="K175">
        <f t="shared" si="148"/>
        <v>0</v>
      </c>
      <c r="L175">
        <f t="shared" si="148"/>
        <v>0</v>
      </c>
      <c r="M175">
        <f t="shared" si="148"/>
        <v>0</v>
      </c>
      <c r="N175">
        <f t="shared" si="148"/>
        <v>0</v>
      </c>
      <c r="O175">
        <f t="shared" si="148"/>
        <v>1.2821527502967946E-2</v>
      </c>
      <c r="P175">
        <f t="shared" si="148"/>
        <v>3.4112296110414054E-3</v>
      </c>
      <c r="Q175">
        <f t="shared" si="148"/>
        <v>2.6810693192415294E-3</v>
      </c>
      <c r="R175">
        <f t="shared" si="148"/>
        <v>3.0046224961479198E-3</v>
      </c>
      <c r="S175">
        <f t="shared" si="148"/>
        <v>2.7513470136420956E-3</v>
      </c>
      <c r="T175">
        <f t="shared" si="148"/>
        <v>3.5227272727272729E-3</v>
      </c>
      <c r="U175">
        <f t="shared" si="148"/>
        <v>3.1941678253353876E-3</v>
      </c>
      <c r="V175">
        <f t="shared" si="148"/>
        <v>3.8419933604386587E-3</v>
      </c>
      <c r="W175">
        <f t="shared" si="148"/>
        <v>3.9263621883913026E-3</v>
      </c>
      <c r="X175">
        <f t="shared" si="148"/>
        <v>3.7141911521347405E-3</v>
      </c>
      <c r="Y175">
        <f t="shared" si="148"/>
        <v>3.1067251461988302E-3</v>
      </c>
      <c r="Z175">
        <f t="shared" si="148"/>
        <v>4.6869890636921851E-3</v>
      </c>
      <c r="AA175">
        <f t="shared" si="148"/>
        <v>4.8769914381705864E-3</v>
      </c>
      <c r="AB175">
        <f t="shared" si="148"/>
        <v>5.2938634399308558E-3</v>
      </c>
      <c r="AC175">
        <f t="shared" si="148"/>
        <v>5.1891350248720611E-3</v>
      </c>
      <c r="AD175">
        <f t="shared" si="148"/>
        <v>4.5221478421877221E-3</v>
      </c>
      <c r="AE175">
        <f t="shared" ref="AE175" si="149">AE81/SUM(AE$6:AE$96)</f>
        <v>6.3286613272311209E-3</v>
      </c>
      <c r="AH175">
        <v>1.0261883260816024E-3</v>
      </c>
    </row>
    <row r="176" spans="3:36" x14ac:dyDescent="0.25">
      <c r="C176">
        <v>95</v>
      </c>
      <c r="F176">
        <f t="shared" ref="F176:AD176" si="150">F82/SUM(F$6:F$96)</f>
        <v>0</v>
      </c>
      <c r="G176">
        <f t="shared" si="150"/>
        <v>0</v>
      </c>
      <c r="H176">
        <f t="shared" si="150"/>
        <v>0</v>
      </c>
      <c r="I176">
        <f t="shared" si="150"/>
        <v>0</v>
      </c>
      <c r="J176">
        <f t="shared" si="150"/>
        <v>0</v>
      </c>
      <c r="K176">
        <f t="shared" si="150"/>
        <v>0</v>
      </c>
      <c r="L176">
        <f t="shared" si="150"/>
        <v>0</v>
      </c>
      <c r="M176">
        <f t="shared" si="150"/>
        <v>0</v>
      </c>
      <c r="N176">
        <f t="shared" si="150"/>
        <v>0</v>
      </c>
      <c r="O176">
        <f t="shared" si="150"/>
        <v>0</v>
      </c>
      <c r="P176">
        <f t="shared" si="150"/>
        <v>1.2311794228356336E-2</v>
      </c>
      <c r="Q176">
        <f t="shared" si="150"/>
        <v>3.2639104755983837E-3</v>
      </c>
      <c r="R176">
        <f t="shared" si="150"/>
        <v>2.580893682588598E-3</v>
      </c>
      <c r="S176">
        <f t="shared" si="150"/>
        <v>2.8659864725438496E-3</v>
      </c>
      <c r="T176">
        <f t="shared" si="150"/>
        <v>2.5757575757575759E-3</v>
      </c>
      <c r="U176">
        <f t="shared" si="150"/>
        <v>3.3820600503551164E-3</v>
      </c>
      <c r="V176">
        <f t="shared" si="150"/>
        <v>2.9840725129620651E-3</v>
      </c>
      <c r="W176">
        <f t="shared" si="150"/>
        <v>3.7781975775086122E-3</v>
      </c>
      <c r="X176">
        <f t="shared" si="150"/>
        <v>3.8612878314272054E-3</v>
      </c>
      <c r="Y176">
        <f t="shared" si="150"/>
        <v>3.472222222222222E-3</v>
      </c>
      <c r="Z176">
        <f t="shared" si="150"/>
        <v>2.9793263815717764E-3</v>
      </c>
      <c r="AA176">
        <f t="shared" si="150"/>
        <v>4.5518586756258805E-3</v>
      </c>
      <c r="AB176">
        <f t="shared" si="150"/>
        <v>4.7536732929991353E-3</v>
      </c>
      <c r="AC176">
        <f t="shared" si="150"/>
        <v>5.0459864724617968E-3</v>
      </c>
      <c r="AD176">
        <f t="shared" si="150"/>
        <v>5.0562597920524146E-3</v>
      </c>
      <c r="AE176">
        <f t="shared" ref="AE176" si="151">AE82/SUM(AE$6:AE$96)</f>
        <v>4.4693935926773459E-3</v>
      </c>
      <c r="AH176">
        <v>1.2724735243411871E-3</v>
      </c>
    </row>
    <row r="177" spans="3:34" x14ac:dyDescent="0.25">
      <c r="C177">
        <v>96</v>
      </c>
      <c r="F177">
        <f t="shared" ref="F177:AD177" si="152">F83/SUM(F$6:F$96)</f>
        <v>0</v>
      </c>
      <c r="G177">
        <f t="shared" si="152"/>
        <v>0</v>
      </c>
      <c r="H177">
        <f t="shared" si="152"/>
        <v>0</v>
      </c>
      <c r="I177">
        <f t="shared" si="152"/>
        <v>0</v>
      </c>
      <c r="J177">
        <f t="shared" si="152"/>
        <v>0</v>
      </c>
      <c r="K177">
        <f t="shared" si="152"/>
        <v>0</v>
      </c>
      <c r="L177">
        <f t="shared" si="152"/>
        <v>0</v>
      </c>
      <c r="M177">
        <f t="shared" si="152"/>
        <v>0</v>
      </c>
      <c r="N177">
        <f t="shared" si="152"/>
        <v>0</v>
      </c>
      <c r="O177">
        <f t="shared" si="152"/>
        <v>0</v>
      </c>
      <c r="P177">
        <f t="shared" si="152"/>
        <v>0</v>
      </c>
      <c r="Q177">
        <f t="shared" si="152"/>
        <v>1.1734535281317997E-2</v>
      </c>
      <c r="R177">
        <f t="shared" si="152"/>
        <v>3.0046224961479198E-3</v>
      </c>
      <c r="S177">
        <f t="shared" si="152"/>
        <v>2.5220680958385876E-3</v>
      </c>
      <c r="T177">
        <f t="shared" si="152"/>
        <v>2.7651515151515152E-3</v>
      </c>
      <c r="U177">
        <f t="shared" si="152"/>
        <v>2.5177558152643643E-3</v>
      </c>
      <c r="V177">
        <f t="shared" si="152"/>
        <v>3.2824797642582713E-3</v>
      </c>
      <c r="W177">
        <f t="shared" si="152"/>
        <v>2.8892099122124681E-3</v>
      </c>
      <c r="X177">
        <f t="shared" si="152"/>
        <v>3.6038686426653919E-3</v>
      </c>
      <c r="Y177">
        <f t="shared" si="152"/>
        <v>3.7646198830409358E-3</v>
      </c>
      <c r="Z177">
        <f t="shared" si="152"/>
        <v>3.4153253642408166E-3</v>
      </c>
      <c r="AA177">
        <f t="shared" si="152"/>
        <v>2.9261948629023516E-3</v>
      </c>
      <c r="AB177">
        <f t="shared" si="152"/>
        <v>4.5375972342264481E-3</v>
      </c>
      <c r="AC177">
        <f t="shared" si="152"/>
        <v>4.5091794009233079E-3</v>
      </c>
      <c r="AD177">
        <f t="shared" si="152"/>
        <v>4.8426150121065378E-3</v>
      </c>
      <c r="AE177">
        <f t="shared" ref="AE177" si="153">AE83/SUM(AE$6:AE$96)</f>
        <v>4.8984553775743706E-3</v>
      </c>
      <c r="AH177">
        <v>7.7990312782201792E-4</v>
      </c>
    </row>
    <row r="178" spans="3:34" x14ac:dyDescent="0.25">
      <c r="C178">
        <v>97</v>
      </c>
      <c r="F178">
        <f t="shared" ref="F178:AD178" si="154">F84/SUM(F$6:F$96)</f>
        <v>0</v>
      </c>
      <c r="G178">
        <f t="shared" si="154"/>
        <v>0</v>
      </c>
      <c r="H178">
        <f t="shared" si="154"/>
        <v>0</v>
      </c>
      <c r="I178">
        <f t="shared" si="154"/>
        <v>0</v>
      </c>
      <c r="J178">
        <f t="shared" si="154"/>
        <v>0</v>
      </c>
      <c r="K178">
        <f t="shared" si="154"/>
        <v>0</v>
      </c>
      <c r="L178">
        <f t="shared" si="154"/>
        <v>0</v>
      </c>
      <c r="M178">
        <f t="shared" si="154"/>
        <v>0</v>
      </c>
      <c r="N178">
        <f t="shared" si="154"/>
        <v>0</v>
      </c>
      <c r="O178">
        <f t="shared" si="154"/>
        <v>0</v>
      </c>
      <c r="P178">
        <f t="shared" si="154"/>
        <v>0</v>
      </c>
      <c r="Q178">
        <f t="shared" si="154"/>
        <v>0</v>
      </c>
      <c r="R178">
        <f t="shared" si="154"/>
        <v>1.1248073959938367E-2</v>
      </c>
      <c r="S178">
        <f t="shared" si="154"/>
        <v>2.9806259314456036E-3</v>
      </c>
      <c r="T178">
        <f t="shared" si="154"/>
        <v>2.4621212121212119E-3</v>
      </c>
      <c r="U178">
        <f t="shared" si="154"/>
        <v>2.7056480402840931E-3</v>
      </c>
      <c r="V178">
        <f t="shared" si="154"/>
        <v>2.4245589167816778E-3</v>
      </c>
      <c r="W178">
        <f t="shared" si="154"/>
        <v>3.1484979812571767E-3</v>
      </c>
      <c r="X178">
        <f t="shared" si="154"/>
        <v>2.7580627367337182E-3</v>
      </c>
      <c r="Y178">
        <f t="shared" si="154"/>
        <v>3.472222222222222E-3</v>
      </c>
      <c r="Z178">
        <f t="shared" si="154"/>
        <v>3.6696581041310902E-3</v>
      </c>
      <c r="AA178">
        <f t="shared" si="154"/>
        <v>3.3235793504569921E-3</v>
      </c>
      <c r="AB178">
        <f t="shared" si="154"/>
        <v>2.8810141169691729E-3</v>
      </c>
      <c r="AC178">
        <f t="shared" si="154"/>
        <v>4.4018179866156101E-3</v>
      </c>
      <c r="AD178">
        <f t="shared" si="154"/>
        <v>4.4153254522147842E-3</v>
      </c>
      <c r="AE178">
        <f t="shared" ref="AE178" si="155">AE84/SUM(AE$6:AE$96)</f>
        <v>4.7911899313501146E-3</v>
      </c>
      <c r="AH178">
        <v>6.9780806173548972E-4</v>
      </c>
    </row>
    <row r="179" spans="3:34" x14ac:dyDescent="0.25">
      <c r="C179">
        <v>98</v>
      </c>
      <c r="F179">
        <f t="shared" ref="F179:AD179" si="156">F85/SUM(F$6:F$96)</f>
        <v>0</v>
      </c>
      <c r="G179">
        <f t="shared" si="156"/>
        <v>0</v>
      </c>
      <c r="H179">
        <f t="shared" si="156"/>
        <v>0</v>
      </c>
      <c r="I179">
        <f t="shared" si="156"/>
        <v>0</v>
      </c>
      <c r="J179">
        <f t="shared" si="156"/>
        <v>0</v>
      </c>
      <c r="K179">
        <f t="shared" si="156"/>
        <v>0</v>
      </c>
      <c r="L179">
        <f t="shared" si="156"/>
        <v>0</v>
      </c>
      <c r="M179">
        <f t="shared" si="156"/>
        <v>0</v>
      </c>
      <c r="N179">
        <f t="shared" si="156"/>
        <v>0</v>
      </c>
      <c r="O179">
        <f t="shared" si="156"/>
        <v>0</v>
      </c>
      <c r="P179">
        <f t="shared" si="156"/>
        <v>0</v>
      </c>
      <c r="Q179">
        <f t="shared" si="156"/>
        <v>0</v>
      </c>
      <c r="R179">
        <f t="shared" si="156"/>
        <v>0</v>
      </c>
      <c r="S179">
        <f t="shared" si="156"/>
        <v>1.0776109136764874E-2</v>
      </c>
      <c r="T179">
        <f t="shared" si="156"/>
        <v>2.9166666666666668E-3</v>
      </c>
      <c r="U179">
        <f t="shared" si="156"/>
        <v>2.254706700236744E-3</v>
      </c>
      <c r="V179">
        <f t="shared" si="156"/>
        <v>2.6856652616658585E-3</v>
      </c>
      <c r="W179">
        <f t="shared" si="156"/>
        <v>2.2595103159610327E-3</v>
      </c>
      <c r="X179">
        <f t="shared" si="156"/>
        <v>3.0890302651417644E-3</v>
      </c>
      <c r="Y179">
        <f t="shared" si="156"/>
        <v>2.7046783625730994E-3</v>
      </c>
      <c r="Z179">
        <f t="shared" si="156"/>
        <v>3.3789921156850635E-3</v>
      </c>
      <c r="AA179">
        <f t="shared" si="156"/>
        <v>3.540334525486796E-3</v>
      </c>
      <c r="AB179">
        <f t="shared" si="156"/>
        <v>3.2411408815903198E-3</v>
      </c>
      <c r="AC179">
        <f t="shared" si="156"/>
        <v>2.862971048205275E-3</v>
      </c>
      <c r="AD179">
        <f t="shared" si="156"/>
        <v>4.3441105255661583E-3</v>
      </c>
      <c r="AE179">
        <f t="shared" ref="AE179" si="157">AE85/SUM(AE$6:AE$96)</f>
        <v>4.3621281464530891E-3</v>
      </c>
      <c r="AF179">
        <f>SUM(AE175:AE179)</f>
        <v>2.4849828375286039E-2</v>
      </c>
      <c r="AH179">
        <v>1.0261883260816024E-3</v>
      </c>
    </row>
    <row r="180" spans="3:34" x14ac:dyDescent="0.25">
      <c r="C180">
        <v>99</v>
      </c>
      <c r="F180">
        <f t="shared" ref="F180:AD180" si="158">F86/SUM(F$6:F$96)</f>
        <v>0</v>
      </c>
      <c r="G180">
        <f t="shared" si="158"/>
        <v>0</v>
      </c>
      <c r="H180">
        <f t="shared" si="158"/>
        <v>0</v>
      </c>
      <c r="I180">
        <f t="shared" si="158"/>
        <v>0</v>
      </c>
      <c r="J180">
        <f t="shared" si="158"/>
        <v>0</v>
      </c>
      <c r="K180">
        <f t="shared" si="158"/>
        <v>0</v>
      </c>
      <c r="L180">
        <f t="shared" si="158"/>
        <v>0</v>
      </c>
      <c r="M180">
        <f t="shared" si="158"/>
        <v>0</v>
      </c>
      <c r="N180">
        <f t="shared" si="158"/>
        <v>0</v>
      </c>
      <c r="O180">
        <f t="shared" si="158"/>
        <v>0</v>
      </c>
      <c r="P180">
        <f t="shared" si="158"/>
        <v>0</v>
      </c>
      <c r="Q180">
        <f t="shared" si="158"/>
        <v>0</v>
      </c>
      <c r="R180">
        <f t="shared" si="158"/>
        <v>0</v>
      </c>
      <c r="S180">
        <f t="shared" si="158"/>
        <v>0</v>
      </c>
      <c r="T180">
        <f t="shared" si="158"/>
        <v>1.053030303030303E-2</v>
      </c>
      <c r="U180">
        <f t="shared" si="158"/>
        <v>2.8559618202998759E-3</v>
      </c>
      <c r="V180">
        <f t="shared" si="158"/>
        <v>2.163452571897497E-3</v>
      </c>
      <c r="W180">
        <f t="shared" si="158"/>
        <v>2.555839537726414E-3</v>
      </c>
      <c r="X180">
        <f t="shared" si="158"/>
        <v>2.2432243592100908E-3</v>
      </c>
      <c r="Y180">
        <f t="shared" si="158"/>
        <v>2.9605263157894738E-3</v>
      </c>
      <c r="Z180">
        <f t="shared" si="158"/>
        <v>2.6159938960142425E-3</v>
      </c>
      <c r="AA180">
        <f t="shared" si="158"/>
        <v>3.3235793504569921E-3</v>
      </c>
      <c r="AB180">
        <f t="shared" si="158"/>
        <v>3.3851915874387782E-3</v>
      </c>
      <c r="AC180">
        <f t="shared" si="158"/>
        <v>3.1850552911283684E-3</v>
      </c>
      <c r="AD180">
        <f t="shared" si="158"/>
        <v>2.7773821392963966E-3</v>
      </c>
      <c r="AE180">
        <f t="shared" ref="AE180" si="159">AE86/SUM(AE$6:AE$96)</f>
        <v>4.2906178489702518E-3</v>
      </c>
      <c r="AH180">
        <v>2.4628519825958459E-4</v>
      </c>
    </row>
    <row r="181" spans="3:34" x14ac:dyDescent="0.25">
      <c r="C181">
        <v>100</v>
      </c>
      <c r="F181">
        <f t="shared" ref="F181:AD181" si="160">F87/SUM(F$6:F$96)</f>
        <v>0</v>
      </c>
      <c r="G181">
        <f t="shared" si="160"/>
        <v>0</v>
      </c>
      <c r="H181">
        <f t="shared" si="160"/>
        <v>0</v>
      </c>
      <c r="I181">
        <f t="shared" si="160"/>
        <v>0</v>
      </c>
      <c r="J181">
        <f t="shared" si="160"/>
        <v>0</v>
      </c>
      <c r="K181">
        <f t="shared" si="160"/>
        <v>0</v>
      </c>
      <c r="L181">
        <f t="shared" si="160"/>
        <v>0</v>
      </c>
      <c r="M181">
        <f t="shared" si="160"/>
        <v>0</v>
      </c>
      <c r="N181">
        <f t="shared" si="160"/>
        <v>0</v>
      </c>
      <c r="O181">
        <f t="shared" si="160"/>
        <v>0</v>
      </c>
      <c r="P181">
        <f t="shared" si="160"/>
        <v>0</v>
      </c>
      <c r="Q181">
        <f t="shared" si="160"/>
        <v>0</v>
      </c>
      <c r="R181">
        <f t="shared" si="160"/>
        <v>0</v>
      </c>
      <c r="S181">
        <f t="shared" si="160"/>
        <v>0</v>
      </c>
      <c r="T181">
        <f t="shared" si="160"/>
        <v>0</v>
      </c>
      <c r="U181">
        <f t="shared" si="160"/>
        <v>1.0221337041073241E-2</v>
      </c>
      <c r="V181">
        <f t="shared" si="160"/>
        <v>2.8348688873139618E-3</v>
      </c>
      <c r="W181">
        <f t="shared" si="160"/>
        <v>2.1113457050783422E-3</v>
      </c>
      <c r="X181">
        <f t="shared" si="160"/>
        <v>2.5374177177950206E-3</v>
      </c>
      <c r="Y181">
        <f t="shared" si="160"/>
        <v>2.0833333333333333E-3</v>
      </c>
      <c r="Z181">
        <f t="shared" si="160"/>
        <v>2.7976601387930096E-3</v>
      </c>
      <c r="AA181">
        <f t="shared" si="160"/>
        <v>2.4565586503377769E-3</v>
      </c>
      <c r="AB181">
        <f t="shared" si="160"/>
        <v>3.2411408815903198E-3</v>
      </c>
      <c r="AC181">
        <f t="shared" si="160"/>
        <v>3.2566295673335005E-3</v>
      </c>
      <c r="AD181">
        <f t="shared" si="160"/>
        <v>3.0266343825665859E-3</v>
      </c>
      <c r="AE181">
        <f t="shared" ref="AE181" si="161">AE87/SUM(AE$6:AE$96)</f>
        <v>2.717391304347826E-3</v>
      </c>
      <c r="AH181">
        <v>4.1047533043264098E-4</v>
      </c>
    </row>
    <row r="182" spans="3:34" x14ac:dyDescent="0.25">
      <c r="C182">
        <v>101</v>
      </c>
      <c r="F182">
        <f t="shared" ref="F182:AD182" si="162">F88/SUM(F$6:F$96)</f>
        <v>0</v>
      </c>
      <c r="G182">
        <f t="shared" si="162"/>
        <v>0</v>
      </c>
      <c r="H182">
        <f t="shared" si="162"/>
        <v>0</v>
      </c>
      <c r="I182">
        <f t="shared" si="162"/>
        <v>0</v>
      </c>
      <c r="J182">
        <f t="shared" si="162"/>
        <v>0</v>
      </c>
      <c r="K182">
        <f t="shared" si="162"/>
        <v>0</v>
      </c>
      <c r="L182">
        <f t="shared" si="162"/>
        <v>0</v>
      </c>
      <c r="M182">
        <f t="shared" si="162"/>
        <v>0</v>
      </c>
      <c r="N182">
        <f t="shared" si="162"/>
        <v>0</v>
      </c>
      <c r="O182">
        <f t="shared" si="162"/>
        <v>0</v>
      </c>
      <c r="P182">
        <f t="shared" si="162"/>
        <v>0</v>
      </c>
      <c r="Q182">
        <f t="shared" si="162"/>
        <v>0</v>
      </c>
      <c r="R182">
        <f t="shared" si="162"/>
        <v>0</v>
      </c>
      <c r="S182">
        <f t="shared" si="162"/>
        <v>0</v>
      </c>
      <c r="T182">
        <f t="shared" si="162"/>
        <v>0</v>
      </c>
      <c r="U182">
        <f t="shared" si="162"/>
        <v>0</v>
      </c>
      <c r="V182">
        <f t="shared" si="162"/>
        <v>9.9593420120108918E-3</v>
      </c>
      <c r="W182">
        <f t="shared" si="162"/>
        <v>2.8151276067711227E-3</v>
      </c>
      <c r="X182">
        <f t="shared" si="162"/>
        <v>2.0225793402713936E-3</v>
      </c>
      <c r="Y182">
        <f t="shared" si="162"/>
        <v>2.5219298245614035E-3</v>
      </c>
      <c r="Z182">
        <f t="shared" si="162"/>
        <v>2.0346619191221886E-3</v>
      </c>
      <c r="AA182">
        <f t="shared" si="162"/>
        <v>2.7455655503775154E-3</v>
      </c>
      <c r="AB182">
        <f t="shared" si="162"/>
        <v>2.3768366464995676E-3</v>
      </c>
      <c r="AC182">
        <f t="shared" si="162"/>
        <v>3.2208424292309345E-3</v>
      </c>
      <c r="AD182">
        <f t="shared" si="162"/>
        <v>3.2046716991881497E-3</v>
      </c>
      <c r="AE182">
        <f t="shared" ref="AE182" si="163">AE88/SUM(AE$6:AE$96)</f>
        <v>2.9676773455377574E-3</v>
      </c>
      <c r="AH182">
        <v>4.1047533043264098E-4</v>
      </c>
    </row>
    <row r="183" spans="3:34" x14ac:dyDescent="0.25">
      <c r="C183">
        <v>102</v>
      </c>
      <c r="F183">
        <f t="shared" ref="F183:AD183" si="164">F89/SUM(F$6:F$96)</f>
        <v>0</v>
      </c>
      <c r="G183">
        <f t="shared" si="164"/>
        <v>0</v>
      </c>
      <c r="H183">
        <f t="shared" si="164"/>
        <v>0</v>
      </c>
      <c r="I183">
        <f t="shared" si="164"/>
        <v>0</v>
      </c>
      <c r="J183">
        <f t="shared" si="164"/>
        <v>0</v>
      </c>
      <c r="K183">
        <f t="shared" si="164"/>
        <v>0</v>
      </c>
      <c r="L183">
        <f t="shared" si="164"/>
        <v>0</v>
      </c>
      <c r="M183">
        <f t="shared" si="164"/>
        <v>0</v>
      </c>
      <c r="N183">
        <f t="shared" si="164"/>
        <v>0</v>
      </c>
      <c r="O183">
        <f t="shared" si="164"/>
        <v>0</v>
      </c>
      <c r="P183">
        <f t="shared" si="164"/>
        <v>0</v>
      </c>
      <c r="Q183">
        <f t="shared" si="164"/>
        <v>0</v>
      </c>
      <c r="R183">
        <f t="shared" si="164"/>
        <v>0</v>
      </c>
      <c r="S183">
        <f t="shared" si="164"/>
        <v>0</v>
      </c>
      <c r="T183">
        <f t="shared" si="164"/>
        <v>0</v>
      </c>
      <c r="U183">
        <f t="shared" si="164"/>
        <v>0</v>
      </c>
      <c r="V183">
        <f t="shared" si="164"/>
        <v>0</v>
      </c>
      <c r="W183">
        <f t="shared" si="164"/>
        <v>9.667740860095567E-3</v>
      </c>
      <c r="X183">
        <f t="shared" si="164"/>
        <v>2.7212885669106019E-3</v>
      </c>
      <c r="Y183">
        <f t="shared" si="164"/>
        <v>2.0102339181286549E-3</v>
      </c>
      <c r="Z183">
        <f t="shared" si="164"/>
        <v>2.4706609017912293E-3</v>
      </c>
      <c r="AA183">
        <f t="shared" si="164"/>
        <v>1.9507965752682346E-3</v>
      </c>
      <c r="AB183">
        <f t="shared" si="164"/>
        <v>2.5929127052722557E-3</v>
      </c>
      <c r="AC183">
        <f t="shared" si="164"/>
        <v>2.3619511147693517E-3</v>
      </c>
      <c r="AD183">
        <f t="shared" si="164"/>
        <v>3.2046716991881497E-3</v>
      </c>
      <c r="AE183">
        <f t="shared" ref="AE183" si="165">AE89/SUM(AE$6:AE$96)</f>
        <v>3.1464530892448511E-3</v>
      </c>
      <c r="AH183">
        <v>5.3361792956243333E-4</v>
      </c>
    </row>
    <row r="184" spans="3:34" x14ac:dyDescent="0.25">
      <c r="C184">
        <v>103</v>
      </c>
      <c r="F184">
        <f t="shared" ref="F184:AD184" si="166">F90/SUM(F$6:F$96)</f>
        <v>0</v>
      </c>
      <c r="G184">
        <f t="shared" si="166"/>
        <v>0</v>
      </c>
      <c r="H184">
        <f t="shared" si="166"/>
        <v>0</v>
      </c>
      <c r="I184">
        <f t="shared" si="166"/>
        <v>0</v>
      </c>
      <c r="J184">
        <f t="shared" si="166"/>
        <v>0</v>
      </c>
      <c r="K184">
        <f t="shared" si="166"/>
        <v>0</v>
      </c>
      <c r="L184">
        <f t="shared" si="166"/>
        <v>0</v>
      </c>
      <c r="M184">
        <f t="shared" si="166"/>
        <v>0</v>
      </c>
      <c r="N184">
        <f t="shared" si="166"/>
        <v>0</v>
      </c>
      <c r="O184">
        <f t="shared" si="166"/>
        <v>0</v>
      </c>
      <c r="P184">
        <f t="shared" si="166"/>
        <v>0</v>
      </c>
      <c r="Q184">
        <f t="shared" si="166"/>
        <v>0</v>
      </c>
      <c r="R184">
        <f t="shared" si="166"/>
        <v>0</v>
      </c>
      <c r="S184">
        <f t="shared" si="166"/>
        <v>0</v>
      </c>
      <c r="T184">
        <f t="shared" si="166"/>
        <v>0</v>
      </c>
      <c r="U184">
        <f t="shared" si="166"/>
        <v>0</v>
      </c>
      <c r="V184">
        <f t="shared" si="166"/>
        <v>0</v>
      </c>
      <c r="W184">
        <f t="shared" si="166"/>
        <v>0</v>
      </c>
      <c r="X184">
        <f t="shared" si="166"/>
        <v>9.3774133048946419E-3</v>
      </c>
      <c r="Y184">
        <f t="shared" si="166"/>
        <v>2.7046783625730994E-3</v>
      </c>
      <c r="Z184">
        <f t="shared" si="166"/>
        <v>1.9619954220106818E-3</v>
      </c>
      <c r="AA184">
        <f t="shared" si="166"/>
        <v>2.4204327878328095E-3</v>
      </c>
      <c r="AB184">
        <f t="shared" si="166"/>
        <v>1.8726591760299626E-3</v>
      </c>
      <c r="AC184">
        <f t="shared" si="166"/>
        <v>2.4693125290770495E-3</v>
      </c>
      <c r="AD184">
        <f t="shared" si="166"/>
        <v>2.243270189431705E-3</v>
      </c>
      <c r="AE184">
        <f t="shared" ref="AE184" si="167">AE90/SUM(AE$6:AE$96)</f>
        <v>3.1822082379862702E-3</v>
      </c>
      <c r="AF184">
        <f>SUM(AE180:AE184)</f>
        <v>1.630434782608696E-2</v>
      </c>
      <c r="AH184">
        <v>4.9257039651916918E-4</v>
      </c>
    </row>
    <row r="185" spans="3:34" x14ac:dyDescent="0.25">
      <c r="C185">
        <v>104</v>
      </c>
      <c r="F185">
        <f t="shared" ref="F185:AD185" si="168">F91/SUM(F$6:F$96)</f>
        <v>0</v>
      </c>
      <c r="G185">
        <f t="shared" si="168"/>
        <v>0</v>
      </c>
      <c r="H185">
        <f t="shared" si="168"/>
        <v>0</v>
      </c>
      <c r="I185">
        <f t="shared" si="168"/>
        <v>0</v>
      </c>
      <c r="J185">
        <f t="shared" si="168"/>
        <v>0</v>
      </c>
      <c r="K185">
        <f t="shared" si="168"/>
        <v>0</v>
      </c>
      <c r="L185">
        <f t="shared" si="168"/>
        <v>0</v>
      </c>
      <c r="M185">
        <f t="shared" si="168"/>
        <v>0</v>
      </c>
      <c r="N185">
        <f t="shared" si="168"/>
        <v>0</v>
      </c>
      <c r="O185">
        <f t="shared" si="168"/>
        <v>0</v>
      </c>
      <c r="P185">
        <f t="shared" si="168"/>
        <v>0</v>
      </c>
      <c r="Q185">
        <f t="shared" si="168"/>
        <v>0</v>
      </c>
      <c r="R185">
        <f t="shared" si="168"/>
        <v>0</v>
      </c>
      <c r="S185">
        <f t="shared" si="168"/>
        <v>0</v>
      </c>
      <c r="T185">
        <f t="shared" si="168"/>
        <v>0</v>
      </c>
      <c r="U185">
        <f t="shared" si="168"/>
        <v>0</v>
      </c>
      <c r="V185">
        <f t="shared" si="168"/>
        <v>0</v>
      </c>
      <c r="W185">
        <f t="shared" si="168"/>
        <v>0</v>
      </c>
      <c r="X185">
        <f t="shared" si="168"/>
        <v>0</v>
      </c>
      <c r="Y185">
        <f t="shared" si="168"/>
        <v>9.1374269005847948E-3</v>
      </c>
      <c r="Z185">
        <f t="shared" si="168"/>
        <v>2.6159938960142425E-3</v>
      </c>
      <c r="AA185">
        <f t="shared" si="168"/>
        <v>1.9507965752682346E-3</v>
      </c>
      <c r="AB185">
        <f t="shared" si="168"/>
        <v>2.3768366464995676E-3</v>
      </c>
      <c r="AC185">
        <f t="shared" si="168"/>
        <v>1.8251440432308628E-3</v>
      </c>
      <c r="AD185">
        <f t="shared" si="168"/>
        <v>2.4569149693775814E-3</v>
      </c>
      <c r="AE185">
        <f t="shared" ref="AE185" si="169">AE91/SUM(AE$6:AE$96)</f>
        <v>2.1810640732265445E-3</v>
      </c>
      <c r="AH185">
        <v>2.8322797799852227E-3</v>
      </c>
    </row>
    <row r="186" spans="3:34" x14ac:dyDescent="0.25">
      <c r="C186">
        <v>105</v>
      </c>
      <c r="F186">
        <f t="shared" ref="F186:AD186" si="170">F92/SUM(F$6:F$96)</f>
        <v>0</v>
      </c>
      <c r="G186">
        <f t="shared" si="170"/>
        <v>0</v>
      </c>
      <c r="H186">
        <f t="shared" si="170"/>
        <v>0</v>
      </c>
      <c r="I186">
        <f t="shared" si="170"/>
        <v>0</v>
      </c>
      <c r="J186">
        <f t="shared" si="170"/>
        <v>0</v>
      </c>
      <c r="K186">
        <f t="shared" si="170"/>
        <v>0</v>
      </c>
      <c r="L186">
        <f t="shared" si="170"/>
        <v>0</v>
      </c>
      <c r="M186">
        <f t="shared" si="170"/>
        <v>0</v>
      </c>
      <c r="N186">
        <f t="shared" si="170"/>
        <v>0</v>
      </c>
      <c r="O186">
        <f t="shared" si="170"/>
        <v>0</v>
      </c>
      <c r="P186">
        <f t="shared" si="170"/>
        <v>0</v>
      </c>
      <c r="Q186">
        <f t="shared" si="170"/>
        <v>0</v>
      </c>
      <c r="R186">
        <f t="shared" si="170"/>
        <v>0</v>
      </c>
      <c r="S186">
        <f t="shared" si="170"/>
        <v>0</v>
      </c>
      <c r="T186">
        <f t="shared" si="170"/>
        <v>0</v>
      </c>
      <c r="U186">
        <f t="shared" si="170"/>
        <v>0</v>
      </c>
      <c r="V186">
        <f t="shared" si="170"/>
        <v>0</v>
      </c>
      <c r="W186">
        <f t="shared" si="170"/>
        <v>0</v>
      </c>
      <c r="X186">
        <f t="shared" si="170"/>
        <v>0</v>
      </c>
      <c r="Y186">
        <f t="shared" si="170"/>
        <v>0</v>
      </c>
      <c r="Z186">
        <f t="shared" si="170"/>
        <v>8.9379791447153287E-3</v>
      </c>
      <c r="AA186">
        <f t="shared" si="170"/>
        <v>2.5649362378526788E-3</v>
      </c>
      <c r="AB186">
        <f t="shared" si="170"/>
        <v>1.9446845289541918E-3</v>
      </c>
      <c r="AC186">
        <f t="shared" si="170"/>
        <v>2.29037683856422E-3</v>
      </c>
      <c r="AD186">
        <f t="shared" si="170"/>
        <v>1.7803731662156387E-3</v>
      </c>
      <c r="AE186">
        <f t="shared" ref="AE186" si="171">AE92/SUM(AE$6:AE$96)</f>
        <v>2.431350114416476E-3</v>
      </c>
      <c r="AH186">
        <v>0.99999999999999956</v>
      </c>
    </row>
    <row r="187" spans="3:34" x14ac:dyDescent="0.25">
      <c r="C187">
        <v>106</v>
      </c>
      <c r="F187">
        <f t="shared" ref="F187:AD187" si="172">F93/SUM(F$6:F$96)</f>
        <v>0</v>
      </c>
      <c r="G187">
        <f t="shared" si="172"/>
        <v>0</v>
      </c>
      <c r="H187">
        <f t="shared" si="172"/>
        <v>0</v>
      </c>
      <c r="I187">
        <f t="shared" si="172"/>
        <v>0</v>
      </c>
      <c r="J187">
        <f t="shared" si="172"/>
        <v>0</v>
      </c>
      <c r="K187">
        <f t="shared" si="172"/>
        <v>0</v>
      </c>
      <c r="L187">
        <f t="shared" si="172"/>
        <v>0</v>
      </c>
      <c r="M187">
        <f t="shared" si="172"/>
        <v>0</v>
      </c>
      <c r="N187">
        <f t="shared" si="172"/>
        <v>0</v>
      </c>
      <c r="O187">
        <f t="shared" si="172"/>
        <v>0</v>
      </c>
      <c r="P187">
        <f t="shared" si="172"/>
        <v>0</v>
      </c>
      <c r="Q187">
        <f t="shared" si="172"/>
        <v>0</v>
      </c>
      <c r="R187">
        <f t="shared" si="172"/>
        <v>0</v>
      </c>
      <c r="S187">
        <f t="shared" si="172"/>
        <v>0</v>
      </c>
      <c r="T187">
        <f t="shared" si="172"/>
        <v>0</v>
      </c>
      <c r="U187">
        <f t="shared" si="172"/>
        <v>0</v>
      </c>
      <c r="V187">
        <f t="shared" si="172"/>
        <v>0</v>
      </c>
      <c r="W187">
        <f t="shared" si="172"/>
        <v>0</v>
      </c>
      <c r="X187">
        <f t="shared" si="172"/>
        <v>0</v>
      </c>
      <c r="Y187">
        <f t="shared" si="172"/>
        <v>0</v>
      </c>
      <c r="Z187">
        <f t="shared" si="172"/>
        <v>0</v>
      </c>
      <c r="AA187">
        <f t="shared" si="172"/>
        <v>8.8508363137169907E-3</v>
      </c>
      <c r="AB187">
        <f t="shared" si="172"/>
        <v>2.4488619994237973E-3</v>
      </c>
      <c r="AC187">
        <f t="shared" si="172"/>
        <v>1.8967183194359947E-3</v>
      </c>
      <c r="AD187">
        <f t="shared" si="172"/>
        <v>2.243270189431705E-3</v>
      </c>
      <c r="AE187">
        <f t="shared" ref="AE187" si="173">AE93/SUM(AE$6:AE$96)</f>
        <v>1.7162471395881006E-3</v>
      </c>
    </row>
    <row r="188" spans="3:34" x14ac:dyDescent="0.25">
      <c r="C188">
        <v>107</v>
      </c>
      <c r="F188">
        <f t="shared" ref="F188:AD188" si="174">F94/SUM(F$6:F$96)</f>
        <v>0</v>
      </c>
      <c r="G188">
        <f t="shared" si="174"/>
        <v>0</v>
      </c>
      <c r="H188">
        <f t="shared" si="174"/>
        <v>0</v>
      </c>
      <c r="I188">
        <f t="shared" si="174"/>
        <v>0</v>
      </c>
      <c r="J188">
        <f t="shared" si="174"/>
        <v>0</v>
      </c>
      <c r="K188">
        <f t="shared" si="174"/>
        <v>0</v>
      </c>
      <c r="L188">
        <f t="shared" si="174"/>
        <v>0</v>
      </c>
      <c r="M188">
        <f t="shared" si="174"/>
        <v>0</v>
      </c>
      <c r="N188">
        <f t="shared" si="174"/>
        <v>0</v>
      </c>
      <c r="O188">
        <f t="shared" si="174"/>
        <v>0</v>
      </c>
      <c r="P188">
        <f t="shared" si="174"/>
        <v>0</v>
      </c>
      <c r="Q188">
        <f t="shared" si="174"/>
        <v>0</v>
      </c>
      <c r="R188">
        <f t="shared" si="174"/>
        <v>0</v>
      </c>
      <c r="S188">
        <f t="shared" si="174"/>
        <v>0</v>
      </c>
      <c r="T188">
        <f t="shared" si="174"/>
        <v>0</v>
      </c>
      <c r="U188">
        <f t="shared" si="174"/>
        <v>0</v>
      </c>
      <c r="V188">
        <f t="shared" si="174"/>
        <v>0</v>
      </c>
      <c r="W188">
        <f t="shared" si="174"/>
        <v>0</v>
      </c>
      <c r="X188">
        <f t="shared" si="174"/>
        <v>0</v>
      </c>
      <c r="Y188">
        <f t="shared" si="174"/>
        <v>0</v>
      </c>
      <c r="Z188">
        <f t="shared" si="174"/>
        <v>0</v>
      </c>
      <c r="AA188">
        <f t="shared" si="174"/>
        <v>0</v>
      </c>
      <c r="AB188">
        <f t="shared" si="174"/>
        <v>8.6790550273696341E-3</v>
      </c>
      <c r="AC188">
        <f t="shared" si="174"/>
        <v>2.3261639766667861E-3</v>
      </c>
      <c r="AD188">
        <f t="shared" si="174"/>
        <v>1.8515880928642644E-3</v>
      </c>
      <c r="AE188">
        <f t="shared" ref="AE188" si="175">AE94/SUM(AE$6:AE$96)</f>
        <v>2.2168192219679632E-3</v>
      </c>
    </row>
    <row r="189" spans="3:34" x14ac:dyDescent="0.25">
      <c r="C189">
        <v>108</v>
      </c>
      <c r="F189">
        <f t="shared" ref="F189:AD189" si="176">F95/SUM(F$6:F$96)</f>
        <v>0</v>
      </c>
      <c r="G189">
        <f t="shared" si="176"/>
        <v>0</v>
      </c>
      <c r="H189">
        <f t="shared" si="176"/>
        <v>0</v>
      </c>
      <c r="I189">
        <f t="shared" si="176"/>
        <v>0</v>
      </c>
      <c r="J189">
        <f t="shared" si="176"/>
        <v>0</v>
      </c>
      <c r="K189">
        <f t="shared" si="176"/>
        <v>0</v>
      </c>
      <c r="L189">
        <f t="shared" si="176"/>
        <v>0</v>
      </c>
      <c r="M189">
        <f t="shared" si="176"/>
        <v>0</v>
      </c>
      <c r="N189">
        <f t="shared" si="176"/>
        <v>0</v>
      </c>
      <c r="O189">
        <f t="shared" si="176"/>
        <v>0</v>
      </c>
      <c r="P189">
        <f t="shared" si="176"/>
        <v>0</v>
      </c>
      <c r="Q189">
        <f t="shared" si="176"/>
        <v>0</v>
      </c>
      <c r="R189">
        <f t="shared" si="176"/>
        <v>0</v>
      </c>
      <c r="S189">
        <f t="shared" si="176"/>
        <v>0</v>
      </c>
      <c r="T189">
        <f t="shared" si="176"/>
        <v>0</v>
      </c>
      <c r="U189">
        <f t="shared" si="176"/>
        <v>0</v>
      </c>
      <c r="V189">
        <f t="shared" si="176"/>
        <v>0</v>
      </c>
      <c r="W189">
        <f t="shared" si="176"/>
        <v>0</v>
      </c>
      <c r="X189">
        <f t="shared" si="176"/>
        <v>0</v>
      </c>
      <c r="Y189">
        <f t="shared" si="176"/>
        <v>0</v>
      </c>
      <c r="Z189">
        <f t="shared" si="176"/>
        <v>0</v>
      </c>
      <c r="AA189">
        <f t="shared" si="176"/>
        <v>0</v>
      </c>
      <c r="AB189">
        <f t="shared" si="176"/>
        <v>0</v>
      </c>
      <c r="AC189">
        <f t="shared" si="176"/>
        <v>8.5531260065132599E-3</v>
      </c>
      <c r="AD189">
        <f t="shared" si="176"/>
        <v>2.243270189431705E-3</v>
      </c>
      <c r="AE189">
        <f t="shared" ref="AE189" si="177">AE95/SUM(AE$6:AE$96)</f>
        <v>1.823512585812357E-3</v>
      </c>
      <c r="AF189">
        <f>SUM(AE185:AE189)</f>
        <v>1.0368993135011439E-2</v>
      </c>
    </row>
    <row r="190" spans="3:34" x14ac:dyDescent="0.25">
      <c r="C190">
        <v>109</v>
      </c>
      <c r="F190">
        <f t="shared" ref="F190:AD190" si="178">F96/SUM(F$6:F$96)</f>
        <v>0</v>
      </c>
      <c r="G190">
        <f t="shared" si="178"/>
        <v>0</v>
      </c>
      <c r="H190">
        <f t="shared" si="178"/>
        <v>0</v>
      </c>
      <c r="I190">
        <f t="shared" si="178"/>
        <v>0</v>
      </c>
      <c r="J190">
        <f t="shared" si="178"/>
        <v>0</v>
      </c>
      <c r="K190">
        <f t="shared" si="178"/>
        <v>0</v>
      </c>
      <c r="L190">
        <f t="shared" si="178"/>
        <v>0</v>
      </c>
      <c r="M190">
        <f t="shared" si="178"/>
        <v>0</v>
      </c>
      <c r="N190">
        <f t="shared" si="178"/>
        <v>0</v>
      </c>
      <c r="O190">
        <f t="shared" si="178"/>
        <v>0</v>
      </c>
      <c r="P190">
        <f t="shared" si="178"/>
        <v>0</v>
      </c>
      <c r="Q190">
        <f t="shared" si="178"/>
        <v>0</v>
      </c>
      <c r="R190">
        <f t="shared" si="178"/>
        <v>0</v>
      </c>
      <c r="S190">
        <f t="shared" si="178"/>
        <v>0</v>
      </c>
      <c r="T190">
        <f t="shared" si="178"/>
        <v>0</v>
      </c>
      <c r="U190">
        <f t="shared" si="178"/>
        <v>0</v>
      </c>
      <c r="V190">
        <f t="shared" si="178"/>
        <v>0</v>
      </c>
      <c r="W190">
        <f t="shared" si="178"/>
        <v>0</v>
      </c>
      <c r="X190">
        <f t="shared" si="178"/>
        <v>0</v>
      </c>
      <c r="Y190">
        <f t="shared" si="178"/>
        <v>0</v>
      </c>
      <c r="Z190">
        <f t="shared" si="178"/>
        <v>0</v>
      </c>
      <c r="AA190">
        <f t="shared" si="178"/>
        <v>0</v>
      </c>
      <c r="AB190">
        <f t="shared" si="178"/>
        <v>0</v>
      </c>
      <c r="AC190">
        <f t="shared" si="178"/>
        <v>0</v>
      </c>
      <c r="AD190">
        <f t="shared" si="178"/>
        <v>8.4033613445378148E-3</v>
      </c>
      <c r="AE190">
        <f t="shared" ref="AE190" si="179">AE96/SUM(AE$6:AE$96)</f>
        <v>2.2168192219679632E-3</v>
      </c>
    </row>
    <row r="191" spans="3:34" x14ac:dyDescent="0.25">
      <c r="C191">
        <v>110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C2:AE30"/>
  <sheetViews>
    <sheetView workbookViewId="0">
      <selection activeCell="E28" sqref="E28"/>
    </sheetView>
  </sheetViews>
  <sheetFormatPr defaultRowHeight="15" x14ac:dyDescent="0.25"/>
  <cols>
    <col min="3" max="3" width="13.140625" bestFit="1" customWidth="1"/>
  </cols>
  <sheetData>
    <row r="2" spans="3:31" x14ac:dyDescent="0.25">
      <c r="D2" t="s">
        <v>1</v>
      </c>
      <c r="E2" t="s">
        <v>2</v>
      </c>
      <c r="F2">
        <v>0</v>
      </c>
      <c r="G2">
        <v>1</v>
      </c>
      <c r="H2">
        <v>2</v>
      </c>
      <c r="I2">
        <v>3</v>
      </c>
      <c r="J2">
        <v>4</v>
      </c>
      <c r="K2">
        <v>5</v>
      </c>
      <c r="L2">
        <v>6</v>
      </c>
      <c r="M2">
        <v>7</v>
      </c>
      <c r="N2">
        <v>8</v>
      </c>
      <c r="O2">
        <v>9</v>
      </c>
      <c r="P2">
        <v>10</v>
      </c>
      <c r="Q2">
        <v>11</v>
      </c>
      <c r="R2">
        <v>12</v>
      </c>
      <c r="S2">
        <v>13</v>
      </c>
      <c r="T2">
        <v>14</v>
      </c>
      <c r="U2">
        <v>15</v>
      </c>
      <c r="V2">
        <v>16</v>
      </c>
      <c r="W2">
        <v>17</v>
      </c>
      <c r="X2">
        <v>18</v>
      </c>
      <c r="Y2">
        <v>19</v>
      </c>
      <c r="Z2">
        <v>20</v>
      </c>
      <c r="AA2">
        <v>21</v>
      </c>
      <c r="AB2">
        <v>22</v>
      </c>
      <c r="AC2">
        <v>23</v>
      </c>
      <c r="AD2">
        <v>24</v>
      </c>
      <c r="AE2">
        <v>25</v>
      </c>
    </row>
    <row r="4" spans="3:31" x14ac:dyDescent="0.25">
      <c r="C4" t="s">
        <v>1</v>
      </c>
      <c r="D4">
        <v>22400</v>
      </c>
      <c r="E4">
        <v>416</v>
      </c>
      <c r="F4">
        <v>416</v>
      </c>
      <c r="G4">
        <v>416</v>
      </c>
      <c r="H4">
        <v>416</v>
      </c>
      <c r="I4">
        <v>416</v>
      </c>
      <c r="J4">
        <v>416</v>
      </c>
      <c r="K4">
        <v>416</v>
      </c>
      <c r="L4">
        <v>416</v>
      </c>
      <c r="M4">
        <v>416</v>
      </c>
      <c r="N4">
        <v>416</v>
      </c>
      <c r="O4">
        <v>416</v>
      </c>
      <c r="P4">
        <v>416</v>
      </c>
      <c r="Q4">
        <v>416</v>
      </c>
      <c r="R4">
        <v>416</v>
      </c>
      <c r="S4">
        <v>416</v>
      </c>
      <c r="T4">
        <v>416</v>
      </c>
      <c r="U4">
        <v>416</v>
      </c>
      <c r="V4">
        <v>416</v>
      </c>
      <c r="W4">
        <v>416</v>
      </c>
      <c r="X4">
        <v>416</v>
      </c>
      <c r="Y4">
        <v>416</v>
      </c>
      <c r="Z4">
        <v>416</v>
      </c>
      <c r="AA4">
        <v>416</v>
      </c>
      <c r="AB4">
        <v>416</v>
      </c>
      <c r="AC4">
        <v>416</v>
      </c>
      <c r="AD4">
        <v>416</v>
      </c>
      <c r="AE4">
        <v>0</v>
      </c>
    </row>
    <row r="5" spans="3:31" x14ac:dyDescent="0.25">
      <c r="C5" t="s">
        <v>29</v>
      </c>
      <c r="D5">
        <v>0</v>
      </c>
      <c r="E5">
        <v>16849</v>
      </c>
      <c r="F5">
        <v>17157</v>
      </c>
      <c r="G5">
        <v>17392</v>
      </c>
      <c r="H5">
        <v>17615</v>
      </c>
      <c r="I5">
        <v>17836</v>
      </c>
      <c r="J5">
        <v>18046</v>
      </c>
      <c r="K5">
        <v>18251</v>
      </c>
      <c r="L5">
        <v>18447</v>
      </c>
      <c r="M5">
        <v>18656</v>
      </c>
      <c r="N5">
        <v>18834</v>
      </c>
      <c r="O5">
        <v>18999</v>
      </c>
      <c r="P5">
        <v>19184</v>
      </c>
      <c r="Q5">
        <v>19369</v>
      </c>
      <c r="R5">
        <v>19536</v>
      </c>
      <c r="S5">
        <v>19654</v>
      </c>
      <c r="T5">
        <v>19818</v>
      </c>
      <c r="U5">
        <v>19973</v>
      </c>
      <c r="V5">
        <v>20119</v>
      </c>
      <c r="W5">
        <v>20252</v>
      </c>
      <c r="X5">
        <v>20385</v>
      </c>
      <c r="Y5">
        <v>20510</v>
      </c>
      <c r="Z5">
        <v>20651</v>
      </c>
      <c r="AA5">
        <v>20768</v>
      </c>
      <c r="AB5">
        <v>20838</v>
      </c>
      <c r="AC5">
        <v>20957</v>
      </c>
      <c r="AD5">
        <v>21071</v>
      </c>
      <c r="AE5">
        <v>21185</v>
      </c>
    </row>
    <row r="6" spans="3:31" x14ac:dyDescent="0.25">
      <c r="C6" t="s">
        <v>31</v>
      </c>
      <c r="D6">
        <v>0</v>
      </c>
      <c r="E6">
        <v>2535</v>
      </c>
      <c r="F6">
        <v>2580</v>
      </c>
      <c r="G6">
        <v>2620</v>
      </c>
      <c r="H6">
        <v>2663</v>
      </c>
      <c r="I6">
        <v>2696</v>
      </c>
      <c r="J6">
        <v>2733</v>
      </c>
      <c r="K6">
        <v>2783</v>
      </c>
      <c r="L6">
        <v>2815</v>
      </c>
      <c r="M6">
        <v>2838</v>
      </c>
      <c r="N6">
        <v>2870</v>
      </c>
      <c r="O6">
        <v>2902</v>
      </c>
      <c r="P6">
        <v>2936</v>
      </c>
      <c r="Q6">
        <v>2956</v>
      </c>
      <c r="R6">
        <v>2980</v>
      </c>
      <c r="S6">
        <v>3014</v>
      </c>
      <c r="T6">
        <v>3050</v>
      </c>
      <c r="U6">
        <v>3061</v>
      </c>
      <c r="V6">
        <v>3091</v>
      </c>
      <c r="W6">
        <v>3112</v>
      </c>
      <c r="X6">
        <v>3119</v>
      </c>
      <c r="Y6">
        <v>3142</v>
      </c>
      <c r="Z6">
        <v>3161</v>
      </c>
      <c r="AA6">
        <v>3170</v>
      </c>
      <c r="AB6">
        <v>3195</v>
      </c>
      <c r="AC6">
        <v>3207</v>
      </c>
      <c r="AD6">
        <v>3219</v>
      </c>
      <c r="AE6">
        <v>3229</v>
      </c>
    </row>
    <row r="7" spans="3:31" x14ac:dyDescent="0.25">
      <c r="C7" t="s">
        <v>30</v>
      </c>
      <c r="D7">
        <v>0</v>
      </c>
      <c r="E7">
        <v>3016</v>
      </c>
      <c r="F7">
        <v>3079</v>
      </c>
      <c r="G7">
        <v>3120</v>
      </c>
      <c r="H7">
        <v>3169</v>
      </c>
      <c r="I7">
        <v>3204</v>
      </c>
      <c r="J7">
        <v>3244</v>
      </c>
      <c r="K7">
        <v>3286</v>
      </c>
      <c r="L7">
        <v>3313</v>
      </c>
      <c r="M7">
        <v>3351</v>
      </c>
      <c r="N7">
        <v>3378</v>
      </c>
      <c r="O7">
        <v>3401</v>
      </c>
      <c r="P7">
        <v>3420</v>
      </c>
      <c r="Q7">
        <v>3453</v>
      </c>
      <c r="R7">
        <v>3480</v>
      </c>
      <c r="S7">
        <v>3513</v>
      </c>
      <c r="T7">
        <v>3527</v>
      </c>
      <c r="U7">
        <v>3559</v>
      </c>
      <c r="V7">
        <v>3579</v>
      </c>
      <c r="W7">
        <v>3597</v>
      </c>
      <c r="X7">
        <v>3629</v>
      </c>
      <c r="Y7">
        <v>3656</v>
      </c>
      <c r="Z7">
        <v>3662</v>
      </c>
      <c r="AA7">
        <v>3690</v>
      </c>
      <c r="AB7">
        <v>3713</v>
      </c>
      <c r="AC7">
        <v>3733</v>
      </c>
      <c r="AD7">
        <v>3760</v>
      </c>
      <c r="AE7">
        <v>3771</v>
      </c>
    </row>
    <row r="8" spans="3:31" x14ac:dyDescent="0.25">
      <c r="C8" t="s">
        <v>32</v>
      </c>
      <c r="D8">
        <v>0</v>
      </c>
      <c r="E8">
        <v>0</v>
      </c>
      <c r="F8">
        <v>0</v>
      </c>
      <c r="G8">
        <v>100</v>
      </c>
      <c r="H8">
        <v>201</v>
      </c>
      <c r="I8">
        <v>328</v>
      </c>
      <c r="J8">
        <v>457</v>
      </c>
      <c r="K8">
        <v>576</v>
      </c>
      <c r="L8">
        <v>737</v>
      </c>
      <c r="M8">
        <v>883</v>
      </c>
      <c r="N8">
        <v>1062</v>
      </c>
      <c r="O8">
        <v>1258</v>
      </c>
      <c r="P8">
        <v>1436</v>
      </c>
      <c r="Q8">
        <v>1614</v>
      </c>
      <c r="R8">
        <v>1812</v>
      </c>
      <c r="S8">
        <v>2043</v>
      </c>
      <c r="T8">
        <v>2245</v>
      </c>
      <c r="U8">
        <v>2463</v>
      </c>
      <c r="V8">
        <v>2683</v>
      </c>
      <c r="W8">
        <v>2927</v>
      </c>
      <c r="X8">
        <v>3171</v>
      </c>
      <c r="Y8">
        <v>3412</v>
      </c>
      <c r="Z8">
        <v>3662</v>
      </c>
      <c r="AA8">
        <v>3924</v>
      </c>
      <c r="AB8">
        <v>4222</v>
      </c>
      <c r="AC8">
        <v>4487</v>
      </c>
      <c r="AD8">
        <v>4750</v>
      </c>
      <c r="AE8">
        <v>5031</v>
      </c>
    </row>
    <row r="10" spans="3:31" x14ac:dyDescent="0.25">
      <c r="C10" t="s">
        <v>29</v>
      </c>
      <c r="F10">
        <f t="shared" ref="F10:AE10" si="0">E5/SUM(E$5:E$7)</f>
        <v>0.75218750000000001</v>
      </c>
      <c r="G10">
        <f t="shared" si="0"/>
        <v>0.7519723001402524</v>
      </c>
      <c r="H10">
        <f t="shared" si="0"/>
        <v>0.75185889676638418</v>
      </c>
      <c r="I10">
        <f t="shared" si="0"/>
        <v>0.75126881903868303</v>
      </c>
      <c r="J10">
        <f t="shared" si="0"/>
        <v>0.75143242332322213</v>
      </c>
      <c r="K10">
        <f t="shared" si="0"/>
        <v>0.75119676976231109</v>
      </c>
      <c r="L10">
        <f t="shared" si="0"/>
        <v>0.75045230263157892</v>
      </c>
      <c r="M10">
        <f t="shared" si="0"/>
        <v>0.75064089521871824</v>
      </c>
      <c r="N10">
        <f t="shared" si="0"/>
        <v>0.75089555242503525</v>
      </c>
      <c r="O10">
        <f t="shared" si="0"/>
        <v>0.75089705765090509</v>
      </c>
      <c r="P10">
        <f t="shared" si="0"/>
        <v>0.75088925776618454</v>
      </c>
      <c r="Q10">
        <f t="shared" si="0"/>
        <v>0.75113547376664058</v>
      </c>
      <c r="R10">
        <f t="shared" si="0"/>
        <v>0.75137714330048877</v>
      </c>
      <c r="S10">
        <f t="shared" si="0"/>
        <v>0.75150023080473916</v>
      </c>
      <c r="T10">
        <f t="shared" si="0"/>
        <v>0.75069707039456091</v>
      </c>
      <c r="U10">
        <f t="shared" si="0"/>
        <v>0.7508240197007009</v>
      </c>
      <c r="V10">
        <f t="shared" si="0"/>
        <v>0.75106230963035381</v>
      </c>
      <c r="W10">
        <f t="shared" si="0"/>
        <v>0.75101720855575049</v>
      </c>
      <c r="X10">
        <f t="shared" si="0"/>
        <v>0.75115908163643785</v>
      </c>
      <c r="Y10">
        <f t="shared" si="0"/>
        <v>0.75129915600928754</v>
      </c>
      <c r="Z10">
        <f t="shared" si="0"/>
        <v>0.75106195986524094</v>
      </c>
      <c r="AA10">
        <f t="shared" si="0"/>
        <v>0.75165611123243792</v>
      </c>
      <c r="AB10">
        <f t="shared" si="0"/>
        <v>0.75170117272332415</v>
      </c>
      <c r="AC10">
        <f t="shared" si="0"/>
        <v>0.75102717508830097</v>
      </c>
      <c r="AD10">
        <f t="shared" si="0"/>
        <v>0.7512277305803492</v>
      </c>
      <c r="AE10">
        <f t="shared" si="0"/>
        <v>0.75119429590017828</v>
      </c>
    </row>
    <row r="11" spans="3:31" x14ac:dyDescent="0.25">
      <c r="C11" t="s">
        <v>31</v>
      </c>
      <c r="F11">
        <f t="shared" ref="F11:AE11" si="1">E6/SUM(E$5:E$7)</f>
        <v>0.11316964285714286</v>
      </c>
      <c r="G11">
        <f t="shared" si="1"/>
        <v>0.11307854137447405</v>
      </c>
      <c r="H11">
        <f t="shared" si="1"/>
        <v>0.11326301227736468</v>
      </c>
      <c r="I11">
        <f t="shared" si="1"/>
        <v>0.11357529747942167</v>
      </c>
      <c r="J11">
        <f t="shared" si="1"/>
        <v>0.11358274351196494</v>
      </c>
      <c r="K11">
        <f t="shared" si="1"/>
        <v>0.11376597427465346</v>
      </c>
      <c r="L11">
        <f t="shared" si="1"/>
        <v>0.11443256578947368</v>
      </c>
      <c r="M11">
        <f t="shared" si="1"/>
        <v>0.11454730417090539</v>
      </c>
      <c r="N11">
        <f t="shared" si="1"/>
        <v>0.11422821493258201</v>
      </c>
      <c r="O11">
        <f t="shared" si="1"/>
        <v>0.11442468702655291</v>
      </c>
      <c r="P11">
        <f t="shared" si="1"/>
        <v>0.1146944905541064</v>
      </c>
      <c r="Q11">
        <f t="shared" si="1"/>
        <v>0.11495693030540328</v>
      </c>
      <c r="R11">
        <f t="shared" si="1"/>
        <v>0.11467142524633409</v>
      </c>
      <c r="S11">
        <f t="shared" si="1"/>
        <v>0.11463302046468687</v>
      </c>
      <c r="T11">
        <f t="shared" si="1"/>
        <v>0.11512165310721516</v>
      </c>
      <c r="U11">
        <f t="shared" si="1"/>
        <v>0.11555218791437773</v>
      </c>
      <c r="V11">
        <f t="shared" si="1"/>
        <v>0.11510547888542097</v>
      </c>
      <c r="W11">
        <f t="shared" si="1"/>
        <v>0.11538317966329463</v>
      </c>
      <c r="X11">
        <f t="shared" si="1"/>
        <v>0.11542598568302363</v>
      </c>
      <c r="Y11">
        <f t="shared" si="1"/>
        <v>0.1149522721409354</v>
      </c>
      <c r="Z11">
        <f t="shared" si="1"/>
        <v>0.11505785850300278</v>
      </c>
      <c r="AA11">
        <f t="shared" si="1"/>
        <v>0.11505423309310621</v>
      </c>
      <c r="AB11">
        <f t="shared" si="1"/>
        <v>0.11473867091356595</v>
      </c>
      <c r="AC11">
        <f t="shared" si="1"/>
        <v>0.1151517335832192</v>
      </c>
      <c r="AD11">
        <f t="shared" si="1"/>
        <v>0.11495859769867728</v>
      </c>
      <c r="AE11">
        <f t="shared" si="1"/>
        <v>0.11475935828877006</v>
      </c>
    </row>
    <row r="12" spans="3:31" x14ac:dyDescent="0.25">
      <c r="C12" t="s">
        <v>30</v>
      </c>
      <c r="F12">
        <f t="shared" ref="F12:AE12" si="2">E7/SUM(E$5:E$7)</f>
        <v>0.13464285714285715</v>
      </c>
      <c r="G12">
        <f t="shared" si="2"/>
        <v>0.1349491584852735</v>
      </c>
      <c r="H12">
        <f t="shared" si="2"/>
        <v>0.13487809095625108</v>
      </c>
      <c r="I12">
        <f t="shared" si="2"/>
        <v>0.13515588348189533</v>
      </c>
      <c r="J12">
        <f t="shared" si="2"/>
        <v>0.13498483316481294</v>
      </c>
      <c r="K12">
        <f t="shared" si="2"/>
        <v>0.13503725596303542</v>
      </c>
      <c r="L12">
        <f t="shared" si="2"/>
        <v>0.13511513157894736</v>
      </c>
      <c r="M12">
        <f t="shared" si="2"/>
        <v>0.1348118006103764</v>
      </c>
      <c r="N12">
        <f t="shared" si="2"/>
        <v>0.13487623264238277</v>
      </c>
      <c r="O12">
        <f t="shared" si="2"/>
        <v>0.13467825532254207</v>
      </c>
      <c r="P12">
        <f t="shared" si="2"/>
        <v>0.13441625167970911</v>
      </c>
      <c r="Q12">
        <f t="shared" si="2"/>
        <v>0.13390759592795615</v>
      </c>
      <c r="R12">
        <f t="shared" si="2"/>
        <v>0.13395143145317712</v>
      </c>
      <c r="S12">
        <f t="shared" si="2"/>
        <v>0.13386674873057394</v>
      </c>
      <c r="T12">
        <f t="shared" si="2"/>
        <v>0.13418127649822389</v>
      </c>
      <c r="U12">
        <f t="shared" si="2"/>
        <v>0.13362379238492139</v>
      </c>
      <c r="V12">
        <f t="shared" si="2"/>
        <v>0.13383221148422517</v>
      </c>
      <c r="W12">
        <f t="shared" si="2"/>
        <v>0.13359961178095486</v>
      </c>
      <c r="X12">
        <f t="shared" si="2"/>
        <v>0.13341493268053856</v>
      </c>
      <c r="Y12">
        <f t="shared" si="2"/>
        <v>0.13374857184977704</v>
      </c>
      <c r="Z12">
        <f t="shared" si="2"/>
        <v>0.13388018163175627</v>
      </c>
      <c r="AA12">
        <f t="shared" si="2"/>
        <v>0.13328965567445586</v>
      </c>
      <c r="AB12">
        <f t="shared" si="2"/>
        <v>0.13356015636310989</v>
      </c>
      <c r="AC12">
        <f t="shared" si="2"/>
        <v>0.13382109132847977</v>
      </c>
      <c r="AD12">
        <f t="shared" si="2"/>
        <v>0.13381367172097358</v>
      </c>
      <c r="AE12">
        <f t="shared" si="2"/>
        <v>0.13404634581105168</v>
      </c>
    </row>
    <row r="14" spans="3:31" x14ac:dyDescent="0.25">
      <c r="C14" t="s">
        <v>1</v>
      </c>
      <c r="D14">
        <v>22400</v>
      </c>
      <c r="E14">
        <v>416</v>
      </c>
      <c r="F14">
        <v>416</v>
      </c>
      <c r="G14">
        <v>416</v>
      </c>
      <c r="H14">
        <v>416</v>
      </c>
      <c r="I14">
        <v>416</v>
      </c>
      <c r="J14">
        <v>416</v>
      </c>
      <c r="K14">
        <v>416</v>
      </c>
      <c r="L14">
        <v>416</v>
      </c>
      <c r="M14">
        <v>416</v>
      </c>
      <c r="N14">
        <v>416</v>
      </c>
      <c r="O14">
        <v>416</v>
      </c>
      <c r="P14">
        <v>416</v>
      </c>
      <c r="Q14">
        <v>416</v>
      </c>
      <c r="R14">
        <v>416</v>
      </c>
      <c r="S14">
        <v>416</v>
      </c>
      <c r="T14">
        <v>416</v>
      </c>
      <c r="U14">
        <v>416</v>
      </c>
      <c r="V14">
        <v>416</v>
      </c>
      <c r="W14">
        <v>416</v>
      </c>
      <c r="X14">
        <v>416</v>
      </c>
      <c r="Y14">
        <v>416</v>
      </c>
      <c r="Z14">
        <v>416</v>
      </c>
      <c r="AA14">
        <v>416</v>
      </c>
      <c r="AB14">
        <v>416</v>
      </c>
      <c r="AC14">
        <v>416</v>
      </c>
      <c r="AD14">
        <v>416</v>
      </c>
      <c r="AE14">
        <v>0</v>
      </c>
    </row>
    <row r="15" spans="3:31" x14ac:dyDescent="0.25">
      <c r="C15" t="s">
        <v>33</v>
      </c>
      <c r="D15">
        <v>0</v>
      </c>
      <c r="E15">
        <v>10752</v>
      </c>
      <c r="F15">
        <v>10981</v>
      </c>
      <c r="G15">
        <v>11136</v>
      </c>
      <c r="H15">
        <v>11287</v>
      </c>
      <c r="I15">
        <v>11430</v>
      </c>
      <c r="J15">
        <v>11565</v>
      </c>
      <c r="K15">
        <v>11689</v>
      </c>
      <c r="L15">
        <v>11839</v>
      </c>
      <c r="M15">
        <v>11984</v>
      </c>
      <c r="N15">
        <v>12111</v>
      </c>
      <c r="O15">
        <v>12243</v>
      </c>
      <c r="P15">
        <v>12377</v>
      </c>
      <c r="Q15">
        <v>12504</v>
      </c>
      <c r="R15">
        <v>12604</v>
      </c>
      <c r="S15">
        <v>12682</v>
      </c>
      <c r="T15">
        <v>12774</v>
      </c>
      <c r="U15">
        <v>12861</v>
      </c>
      <c r="V15">
        <v>12963</v>
      </c>
      <c r="W15">
        <v>13031</v>
      </c>
      <c r="X15">
        <v>13104</v>
      </c>
      <c r="Y15">
        <v>13196</v>
      </c>
      <c r="Z15">
        <v>13290</v>
      </c>
      <c r="AA15">
        <v>13379</v>
      </c>
      <c r="AB15">
        <v>13438</v>
      </c>
      <c r="AC15">
        <v>13527</v>
      </c>
      <c r="AD15">
        <v>13599</v>
      </c>
      <c r="AE15">
        <v>13665</v>
      </c>
    </row>
    <row r="16" spans="3:31" x14ac:dyDescent="0.25">
      <c r="C16" t="s">
        <v>34</v>
      </c>
      <c r="D16">
        <v>0</v>
      </c>
      <c r="E16">
        <v>11648</v>
      </c>
      <c r="F16">
        <v>11835</v>
      </c>
      <c r="G16">
        <v>11986</v>
      </c>
      <c r="H16">
        <v>12159</v>
      </c>
      <c r="I16">
        <v>12310</v>
      </c>
      <c r="J16">
        <v>12462</v>
      </c>
      <c r="K16">
        <v>12634</v>
      </c>
      <c r="L16">
        <v>12741</v>
      </c>
      <c r="M16">
        <v>12863</v>
      </c>
      <c r="N16">
        <v>12983</v>
      </c>
      <c r="O16">
        <v>13080</v>
      </c>
      <c r="P16">
        <v>13198</v>
      </c>
      <c r="Q16">
        <v>13314</v>
      </c>
      <c r="R16">
        <v>13443</v>
      </c>
      <c r="S16">
        <v>13556</v>
      </c>
      <c r="T16">
        <v>13692</v>
      </c>
      <c r="U16">
        <v>13802</v>
      </c>
      <c r="V16">
        <v>13887</v>
      </c>
      <c r="W16">
        <v>13993</v>
      </c>
      <c r="X16">
        <v>14106</v>
      </c>
      <c r="Y16">
        <v>14169</v>
      </c>
      <c r="Z16">
        <v>14245</v>
      </c>
      <c r="AA16">
        <v>14324</v>
      </c>
      <c r="AB16">
        <v>14391</v>
      </c>
      <c r="AC16">
        <v>14458</v>
      </c>
      <c r="AD16">
        <v>14538</v>
      </c>
      <c r="AE16">
        <v>14615</v>
      </c>
    </row>
    <row r="17" spans="3:31" x14ac:dyDescent="0.25">
      <c r="C17" t="s">
        <v>32</v>
      </c>
      <c r="D17">
        <v>0</v>
      </c>
      <c r="E17">
        <v>0</v>
      </c>
      <c r="F17">
        <v>0</v>
      </c>
      <c r="G17">
        <v>110</v>
      </c>
      <c r="H17">
        <v>202</v>
      </c>
      <c r="I17">
        <v>324</v>
      </c>
      <c r="J17">
        <v>453</v>
      </c>
      <c r="K17">
        <v>573</v>
      </c>
      <c r="L17">
        <v>732</v>
      </c>
      <c r="M17">
        <v>881</v>
      </c>
      <c r="N17">
        <v>1050</v>
      </c>
      <c r="O17">
        <v>1237</v>
      </c>
      <c r="P17">
        <v>1401</v>
      </c>
      <c r="Q17">
        <v>1574</v>
      </c>
      <c r="R17">
        <v>1761</v>
      </c>
      <c r="S17">
        <v>1986</v>
      </c>
      <c r="T17">
        <v>2174</v>
      </c>
      <c r="U17">
        <v>2393</v>
      </c>
      <c r="V17">
        <v>2622</v>
      </c>
      <c r="W17">
        <v>2864</v>
      </c>
      <c r="X17">
        <v>3094</v>
      </c>
      <c r="Y17">
        <v>3355</v>
      </c>
      <c r="Z17">
        <v>3601</v>
      </c>
      <c r="AA17">
        <v>3849</v>
      </c>
      <c r="AB17">
        <v>4139</v>
      </c>
      <c r="AC17">
        <v>4399</v>
      </c>
      <c r="AD17">
        <v>4663</v>
      </c>
      <c r="AE17">
        <v>4936</v>
      </c>
    </row>
    <row r="19" spans="3:31" x14ac:dyDescent="0.25">
      <c r="C19" t="s">
        <v>33</v>
      </c>
      <c r="F19">
        <f t="shared" ref="F19:AE19" si="3">E15/(E15+E16)</f>
        <v>0.48</v>
      </c>
      <c r="G19">
        <f t="shared" si="3"/>
        <v>0.48128506311360447</v>
      </c>
      <c r="H19">
        <f t="shared" si="3"/>
        <v>0.48161923709021709</v>
      </c>
      <c r="I19">
        <f t="shared" si="3"/>
        <v>0.48140407745457647</v>
      </c>
      <c r="J19">
        <f t="shared" si="3"/>
        <v>0.48146588037068239</v>
      </c>
      <c r="K19">
        <f t="shared" si="3"/>
        <v>0.48133349981271067</v>
      </c>
      <c r="L19">
        <f t="shared" si="3"/>
        <v>0.48057394235908402</v>
      </c>
      <c r="M19">
        <f t="shared" si="3"/>
        <v>0.48165174938974775</v>
      </c>
      <c r="N19">
        <f t="shared" si="3"/>
        <v>0.48231174789713044</v>
      </c>
      <c r="O19">
        <f t="shared" si="3"/>
        <v>0.48262532876384795</v>
      </c>
      <c r="P19">
        <f t="shared" si="3"/>
        <v>0.48347352209453859</v>
      </c>
      <c r="Q19">
        <f t="shared" si="3"/>
        <v>0.48394916911045943</v>
      </c>
      <c r="R19">
        <f t="shared" si="3"/>
        <v>0.48431326981175926</v>
      </c>
      <c r="S19">
        <f t="shared" si="3"/>
        <v>0.48389449840672633</v>
      </c>
      <c r="T19">
        <f t="shared" si="3"/>
        <v>0.48334476713164115</v>
      </c>
      <c r="U19">
        <f t="shared" si="3"/>
        <v>0.48265699387893901</v>
      </c>
      <c r="V19">
        <f t="shared" si="3"/>
        <v>0.48235382365075197</v>
      </c>
      <c r="W19">
        <f t="shared" si="3"/>
        <v>0.48279329608938548</v>
      </c>
      <c r="X19">
        <f t="shared" si="3"/>
        <v>0.4822010065127294</v>
      </c>
      <c r="Y19">
        <f t="shared" si="3"/>
        <v>0.48158765159867695</v>
      </c>
      <c r="Z19">
        <f t="shared" si="3"/>
        <v>0.48222181618856202</v>
      </c>
      <c r="AA19">
        <f t="shared" si="3"/>
        <v>0.48265843471944797</v>
      </c>
      <c r="AB19">
        <f t="shared" si="3"/>
        <v>0.48294408547810708</v>
      </c>
      <c r="AC19">
        <f t="shared" si="3"/>
        <v>0.48287757375399765</v>
      </c>
      <c r="AD19">
        <f t="shared" si="3"/>
        <v>0.48336608897623728</v>
      </c>
      <c r="AE19">
        <f t="shared" si="3"/>
        <v>0.48331378611792303</v>
      </c>
    </row>
    <row r="20" spans="3:31" x14ac:dyDescent="0.25">
      <c r="C20" t="s">
        <v>34</v>
      </c>
      <c r="F20">
        <f t="shared" ref="F20:AE20" si="4">E16/(E15+E16)</f>
        <v>0.52</v>
      </c>
      <c r="G20">
        <f t="shared" si="4"/>
        <v>0.51871493688639547</v>
      </c>
      <c r="H20">
        <f t="shared" si="4"/>
        <v>0.51838076290978286</v>
      </c>
      <c r="I20">
        <f t="shared" si="4"/>
        <v>0.51859592254542353</v>
      </c>
      <c r="J20">
        <f t="shared" si="4"/>
        <v>0.51853411962931761</v>
      </c>
      <c r="K20">
        <f t="shared" si="4"/>
        <v>0.51866650018728933</v>
      </c>
      <c r="L20">
        <f t="shared" si="4"/>
        <v>0.51942605764091598</v>
      </c>
      <c r="M20">
        <f t="shared" si="4"/>
        <v>0.51834825061025225</v>
      </c>
      <c r="N20">
        <f t="shared" si="4"/>
        <v>0.51768825210286962</v>
      </c>
      <c r="O20">
        <f t="shared" si="4"/>
        <v>0.51737467123615211</v>
      </c>
      <c r="P20">
        <f t="shared" si="4"/>
        <v>0.51652647790546147</v>
      </c>
      <c r="Q20">
        <f t="shared" si="4"/>
        <v>0.51605083088954051</v>
      </c>
      <c r="R20">
        <f t="shared" si="4"/>
        <v>0.51568673018824074</v>
      </c>
      <c r="S20">
        <f t="shared" si="4"/>
        <v>0.51610550159327373</v>
      </c>
      <c r="T20">
        <f t="shared" si="4"/>
        <v>0.5166552328683589</v>
      </c>
      <c r="U20">
        <f t="shared" si="4"/>
        <v>0.51734300612106099</v>
      </c>
      <c r="V20">
        <f t="shared" si="4"/>
        <v>0.51764617634924803</v>
      </c>
      <c r="W20">
        <f t="shared" si="4"/>
        <v>0.51720670391061452</v>
      </c>
      <c r="X20">
        <f t="shared" si="4"/>
        <v>0.51779899348727054</v>
      </c>
      <c r="Y20">
        <f t="shared" si="4"/>
        <v>0.518412348401323</v>
      </c>
      <c r="Z20">
        <f t="shared" si="4"/>
        <v>0.51777818381143792</v>
      </c>
      <c r="AA20">
        <f t="shared" si="4"/>
        <v>0.51734156528055197</v>
      </c>
      <c r="AB20">
        <f t="shared" si="4"/>
        <v>0.51705591452189292</v>
      </c>
      <c r="AC20">
        <f t="shared" si="4"/>
        <v>0.51712242624600235</v>
      </c>
      <c r="AD20">
        <f t="shared" si="4"/>
        <v>0.51663391102376277</v>
      </c>
      <c r="AE20">
        <f t="shared" si="4"/>
        <v>0.51668621388207703</v>
      </c>
    </row>
    <row r="23" spans="3:31" x14ac:dyDescent="0.25">
      <c r="D23">
        <v>0</v>
      </c>
      <c r="E23">
        <v>0</v>
      </c>
      <c r="F23">
        <v>1</v>
      </c>
      <c r="G23">
        <v>2</v>
      </c>
      <c r="H23">
        <v>3</v>
      </c>
      <c r="I23">
        <v>4</v>
      </c>
      <c r="J23">
        <v>5</v>
      </c>
      <c r="K23">
        <v>6</v>
      </c>
      <c r="L23">
        <v>7</v>
      </c>
      <c r="M23">
        <v>8</v>
      </c>
      <c r="N23">
        <v>9</v>
      </c>
      <c r="O23">
        <v>10</v>
      </c>
      <c r="P23">
        <v>11</v>
      </c>
      <c r="Q23">
        <v>12</v>
      </c>
      <c r="R23">
        <v>13</v>
      </c>
      <c r="S23">
        <v>14</v>
      </c>
      <c r="T23">
        <v>15</v>
      </c>
      <c r="U23">
        <v>16</v>
      </c>
      <c r="V23">
        <v>17</v>
      </c>
      <c r="W23">
        <v>18</v>
      </c>
      <c r="X23">
        <v>19</v>
      </c>
      <c r="Y23">
        <v>20</v>
      </c>
      <c r="Z23">
        <v>21</v>
      </c>
      <c r="AA23">
        <v>22</v>
      </c>
      <c r="AB23">
        <v>23</v>
      </c>
      <c r="AC23">
        <v>24</v>
      </c>
      <c r="AD23">
        <v>25</v>
      </c>
    </row>
    <row r="24" spans="3:31" x14ac:dyDescent="0.25">
      <c r="C24" t="s">
        <v>1</v>
      </c>
      <c r="D24">
        <v>22400</v>
      </c>
      <c r="E24">
        <v>416</v>
      </c>
      <c r="F24">
        <v>416</v>
      </c>
      <c r="G24">
        <v>416</v>
      </c>
      <c r="H24">
        <v>416</v>
      </c>
      <c r="I24">
        <v>416</v>
      </c>
      <c r="J24">
        <v>416</v>
      </c>
      <c r="K24">
        <v>416</v>
      </c>
      <c r="L24">
        <v>416</v>
      </c>
      <c r="M24">
        <v>416</v>
      </c>
      <c r="N24">
        <v>416</v>
      </c>
      <c r="O24">
        <v>416</v>
      </c>
      <c r="P24">
        <v>416</v>
      </c>
      <c r="Q24">
        <v>416</v>
      </c>
      <c r="R24">
        <v>416</v>
      </c>
      <c r="S24">
        <v>416</v>
      </c>
      <c r="T24">
        <v>416</v>
      </c>
      <c r="U24">
        <v>416</v>
      </c>
      <c r="V24">
        <v>416</v>
      </c>
      <c r="W24">
        <v>416</v>
      </c>
      <c r="X24">
        <v>416</v>
      </c>
      <c r="Y24">
        <v>416</v>
      </c>
      <c r="Z24">
        <v>416</v>
      </c>
      <c r="AA24">
        <v>416</v>
      </c>
      <c r="AB24">
        <v>416</v>
      </c>
      <c r="AC24">
        <v>416</v>
      </c>
      <c r="AD24">
        <v>416</v>
      </c>
      <c r="AE24">
        <v>0</v>
      </c>
    </row>
    <row r="25" spans="3:31" x14ac:dyDescent="0.25">
      <c r="C25" t="s">
        <v>35</v>
      </c>
      <c r="D25">
        <v>0</v>
      </c>
      <c r="E25">
        <v>15692</v>
      </c>
      <c r="F25">
        <v>15978</v>
      </c>
      <c r="G25">
        <v>16214</v>
      </c>
      <c r="H25">
        <v>16423</v>
      </c>
      <c r="I25">
        <v>16636</v>
      </c>
      <c r="J25">
        <v>16824</v>
      </c>
      <c r="K25">
        <v>17028</v>
      </c>
      <c r="L25">
        <v>17203</v>
      </c>
      <c r="M25">
        <v>17401</v>
      </c>
      <c r="N25">
        <v>17566</v>
      </c>
      <c r="O25">
        <v>17724</v>
      </c>
      <c r="P25">
        <v>17893</v>
      </c>
      <c r="Q25">
        <v>18078</v>
      </c>
      <c r="R25">
        <v>18213</v>
      </c>
      <c r="S25">
        <v>18334</v>
      </c>
      <c r="T25">
        <v>18474</v>
      </c>
      <c r="U25">
        <v>18631</v>
      </c>
      <c r="V25">
        <v>18778</v>
      </c>
      <c r="W25">
        <v>18910</v>
      </c>
      <c r="X25">
        <v>19047</v>
      </c>
      <c r="Y25">
        <v>19192</v>
      </c>
      <c r="Z25">
        <v>19303</v>
      </c>
      <c r="AA25">
        <v>19393</v>
      </c>
      <c r="AB25">
        <v>19479</v>
      </c>
      <c r="AC25">
        <v>19582</v>
      </c>
      <c r="AD25">
        <v>19675</v>
      </c>
      <c r="AE25">
        <v>19789</v>
      </c>
    </row>
    <row r="26" spans="3:31" x14ac:dyDescent="0.25">
      <c r="C26" t="s">
        <v>36</v>
      </c>
      <c r="D26">
        <v>0</v>
      </c>
      <c r="E26">
        <v>6708</v>
      </c>
      <c r="F26">
        <v>6838</v>
      </c>
      <c r="G26">
        <v>6919</v>
      </c>
      <c r="H26">
        <v>7023</v>
      </c>
      <c r="I26">
        <v>7099</v>
      </c>
      <c r="J26">
        <v>7206</v>
      </c>
      <c r="K26">
        <v>7298</v>
      </c>
      <c r="L26">
        <v>7375</v>
      </c>
      <c r="M26">
        <v>7444</v>
      </c>
      <c r="N26">
        <v>7531</v>
      </c>
      <c r="O26">
        <v>7583</v>
      </c>
      <c r="P26">
        <v>7662</v>
      </c>
      <c r="Q26">
        <v>7712</v>
      </c>
      <c r="R26">
        <v>7797</v>
      </c>
      <c r="S26">
        <v>7859</v>
      </c>
      <c r="T26">
        <v>7937</v>
      </c>
      <c r="U26">
        <v>7980</v>
      </c>
      <c r="V26">
        <v>8026</v>
      </c>
      <c r="W26">
        <v>8077</v>
      </c>
      <c r="X26">
        <v>8124</v>
      </c>
      <c r="Y26">
        <v>8157</v>
      </c>
      <c r="Z26">
        <v>8208</v>
      </c>
      <c r="AA26">
        <v>8278</v>
      </c>
      <c r="AB26">
        <v>8297</v>
      </c>
      <c r="AC26">
        <v>8346</v>
      </c>
      <c r="AD26">
        <v>8401</v>
      </c>
      <c r="AE26">
        <v>8417</v>
      </c>
    </row>
    <row r="27" spans="3:31" x14ac:dyDescent="0.25">
      <c r="C27" t="s">
        <v>32</v>
      </c>
      <c r="D27">
        <v>0</v>
      </c>
      <c r="E27">
        <v>0</v>
      </c>
      <c r="F27">
        <v>0</v>
      </c>
      <c r="G27">
        <v>99</v>
      </c>
      <c r="H27">
        <v>202</v>
      </c>
      <c r="I27">
        <v>329</v>
      </c>
      <c r="J27">
        <v>450</v>
      </c>
      <c r="K27">
        <v>570</v>
      </c>
      <c r="L27">
        <v>734</v>
      </c>
      <c r="M27">
        <v>883</v>
      </c>
      <c r="N27">
        <v>1047</v>
      </c>
      <c r="O27">
        <v>1253</v>
      </c>
      <c r="P27">
        <v>1421</v>
      </c>
      <c r="Q27">
        <v>1602</v>
      </c>
      <c r="R27">
        <v>1798</v>
      </c>
      <c r="S27">
        <v>2031</v>
      </c>
      <c r="T27">
        <v>2229</v>
      </c>
      <c r="U27">
        <v>2445</v>
      </c>
      <c r="V27">
        <v>2668</v>
      </c>
      <c r="W27">
        <v>2901</v>
      </c>
      <c r="X27">
        <v>3133</v>
      </c>
      <c r="Y27">
        <v>3371</v>
      </c>
      <c r="Z27">
        <v>3625</v>
      </c>
      <c r="AA27">
        <v>3881</v>
      </c>
      <c r="AB27">
        <v>4192</v>
      </c>
      <c r="AC27">
        <v>4456</v>
      </c>
      <c r="AD27">
        <v>4724</v>
      </c>
      <c r="AE27">
        <v>5010</v>
      </c>
    </row>
    <row r="29" spans="3:31" x14ac:dyDescent="0.25">
      <c r="C29" t="s">
        <v>35</v>
      </c>
      <c r="F29">
        <f t="shared" ref="F29:AE29" si="5">E25/(E25+E26)</f>
        <v>0.70053571428571426</v>
      </c>
      <c r="G29">
        <f t="shared" si="5"/>
        <v>0.70029803646563815</v>
      </c>
      <c r="H29">
        <f t="shared" si="5"/>
        <v>0.70090347123157393</v>
      </c>
      <c r="I29">
        <f t="shared" si="5"/>
        <v>0.70046063294378569</v>
      </c>
      <c r="J29">
        <f t="shared" si="5"/>
        <v>0.70090583526437755</v>
      </c>
      <c r="K29">
        <f t="shared" si="5"/>
        <v>0.70012484394506869</v>
      </c>
      <c r="L29">
        <f t="shared" si="5"/>
        <v>0.69999177834415849</v>
      </c>
      <c r="M29">
        <f t="shared" si="5"/>
        <v>0.6999349011310928</v>
      </c>
      <c r="N29">
        <f t="shared" si="5"/>
        <v>0.70038237069832965</v>
      </c>
      <c r="O29">
        <f t="shared" si="5"/>
        <v>0.69992429374028764</v>
      </c>
      <c r="P29">
        <f t="shared" si="5"/>
        <v>0.70035958430473777</v>
      </c>
      <c r="Q29">
        <f t="shared" si="5"/>
        <v>0.70017609078458232</v>
      </c>
      <c r="R29">
        <f t="shared" si="5"/>
        <v>0.7009693679720822</v>
      </c>
      <c r="S29">
        <f t="shared" si="5"/>
        <v>0.70023068050749715</v>
      </c>
      <c r="T29">
        <f t="shared" si="5"/>
        <v>0.6999580040468828</v>
      </c>
      <c r="U29">
        <f t="shared" si="5"/>
        <v>0.699481276740752</v>
      </c>
      <c r="V29">
        <f t="shared" si="5"/>
        <v>0.700124008868513</v>
      </c>
      <c r="W29">
        <f t="shared" si="5"/>
        <v>0.70056707954036712</v>
      </c>
      <c r="X29">
        <f t="shared" si="5"/>
        <v>0.70070774817504722</v>
      </c>
      <c r="Y29">
        <f t="shared" si="5"/>
        <v>0.70100474770895438</v>
      </c>
      <c r="Z29">
        <f t="shared" si="5"/>
        <v>0.70174412227138105</v>
      </c>
      <c r="AA29">
        <f t="shared" si="5"/>
        <v>0.70164661408164009</v>
      </c>
      <c r="AB29">
        <f t="shared" si="5"/>
        <v>0.70084203678941848</v>
      </c>
      <c r="AC29">
        <f t="shared" si="5"/>
        <v>0.70128888248847931</v>
      </c>
      <c r="AD29">
        <f t="shared" si="5"/>
        <v>0.7011601260383844</v>
      </c>
      <c r="AE29">
        <f t="shared" si="5"/>
        <v>0.70077646388374415</v>
      </c>
    </row>
    <row r="30" spans="3:31" x14ac:dyDescent="0.25">
      <c r="C30" t="s">
        <v>36</v>
      </c>
      <c r="F30">
        <f t="shared" ref="F30:AE30" si="6">E26/(E25+E26)</f>
        <v>0.29946428571428574</v>
      </c>
      <c r="G30">
        <f t="shared" si="6"/>
        <v>0.29970196353436185</v>
      </c>
      <c r="H30">
        <f t="shared" si="6"/>
        <v>0.29909652876842607</v>
      </c>
      <c r="I30">
        <f t="shared" si="6"/>
        <v>0.29953936705621426</v>
      </c>
      <c r="J30">
        <f t="shared" si="6"/>
        <v>0.2990941647356225</v>
      </c>
      <c r="K30">
        <f t="shared" si="6"/>
        <v>0.29987515605493131</v>
      </c>
      <c r="L30">
        <f t="shared" si="6"/>
        <v>0.30000822165584151</v>
      </c>
      <c r="M30">
        <f t="shared" si="6"/>
        <v>0.30006509886890714</v>
      </c>
      <c r="N30">
        <f t="shared" si="6"/>
        <v>0.29961762930167035</v>
      </c>
      <c r="O30">
        <f t="shared" si="6"/>
        <v>0.3000757062597123</v>
      </c>
      <c r="P30">
        <f t="shared" si="6"/>
        <v>0.29964041569526217</v>
      </c>
      <c r="Q30">
        <f t="shared" si="6"/>
        <v>0.29982390921541774</v>
      </c>
      <c r="R30">
        <f t="shared" si="6"/>
        <v>0.2990306320279178</v>
      </c>
      <c r="S30">
        <f t="shared" si="6"/>
        <v>0.29976931949250291</v>
      </c>
      <c r="T30">
        <f t="shared" si="6"/>
        <v>0.30004199595311726</v>
      </c>
      <c r="U30">
        <f t="shared" si="6"/>
        <v>0.30051872325924806</v>
      </c>
      <c r="V30">
        <f t="shared" si="6"/>
        <v>0.299875991131487</v>
      </c>
      <c r="W30">
        <f t="shared" si="6"/>
        <v>0.29943292045963288</v>
      </c>
      <c r="X30">
        <f t="shared" si="6"/>
        <v>0.29929225182495278</v>
      </c>
      <c r="Y30">
        <f t="shared" si="6"/>
        <v>0.29899525229104562</v>
      </c>
      <c r="Z30">
        <f t="shared" si="6"/>
        <v>0.29825587772861895</v>
      </c>
      <c r="AA30">
        <f t="shared" si="6"/>
        <v>0.29835338591835991</v>
      </c>
      <c r="AB30">
        <f t="shared" si="6"/>
        <v>0.29915796321058147</v>
      </c>
      <c r="AC30">
        <f t="shared" si="6"/>
        <v>0.29871111751152074</v>
      </c>
      <c r="AD30">
        <f t="shared" si="6"/>
        <v>0.2988398739616156</v>
      </c>
      <c r="AE30">
        <f t="shared" si="6"/>
        <v>0.29922353611625585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Disease prevalence</vt:lpstr>
      <vt:lpstr>Age distribution</vt:lpstr>
      <vt:lpstr>Risk factor distributions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</dc:creator>
  <cp:lastModifiedBy>RAV</cp:lastModifiedBy>
  <dcterms:created xsi:type="dcterms:W3CDTF">2015-06-27T04:34:15Z</dcterms:created>
  <dcterms:modified xsi:type="dcterms:W3CDTF">2015-07-10T00:15:18Z</dcterms:modified>
</cp:coreProperties>
</file>