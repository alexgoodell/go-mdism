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630" windowWidth="19635" windowHeight="7410"/>
  </bookViews>
  <sheets>
    <sheet name="Disease prevalence" sheetId="1" r:id="rId1"/>
    <sheet name="Age distribution" sheetId="2" r:id="rId2"/>
    <sheet name="Risk factor distributions" sheetId="3" r:id="rId3"/>
  </sheets>
  <calcPr calcId="145621" calcMode="manual"/>
</workbook>
</file>

<file path=xl/calcChain.xml><?xml version="1.0" encoding="utf-8"?>
<calcChain xmlns="http://schemas.openxmlformats.org/spreadsheetml/2006/main">
  <c r="F29" i="3" l="1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E30" i="3"/>
  <c r="E2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E20" i="3"/>
  <c r="E19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E11" i="3"/>
  <c r="E12" i="3"/>
  <c r="E10" i="3"/>
  <c r="E99" i="2" l="1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D99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F100" i="2"/>
  <c r="F15" i="1" l="1"/>
  <c r="F32" i="1" l="1"/>
  <c r="F46" i="1"/>
  <c r="G60" i="1"/>
  <c r="F60" i="1"/>
  <c r="G6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G49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G35" i="1"/>
  <c r="G32" i="1" s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G22" i="1"/>
  <c r="H69" i="1" l="1"/>
  <c r="G15" i="1"/>
  <c r="G46" i="1"/>
  <c r="I69" i="1" l="1"/>
  <c r="H15" i="1"/>
  <c r="H32" i="1"/>
  <c r="H60" i="1"/>
  <c r="H46" i="1"/>
  <c r="J69" i="1" l="1"/>
  <c r="I15" i="1"/>
  <c r="I46" i="1"/>
  <c r="I32" i="1"/>
  <c r="I60" i="1"/>
  <c r="K69" i="1" l="1"/>
  <c r="J15" i="1"/>
  <c r="J46" i="1"/>
  <c r="J32" i="1"/>
  <c r="J60" i="1"/>
  <c r="L69" i="1" l="1"/>
  <c r="K15" i="1"/>
  <c r="K32" i="1"/>
  <c r="K60" i="1"/>
  <c r="K46" i="1"/>
  <c r="M69" i="1" l="1"/>
  <c r="L15" i="1"/>
  <c r="L32" i="1"/>
  <c r="L60" i="1"/>
  <c r="L46" i="1"/>
  <c r="N69" i="1" l="1"/>
  <c r="M15" i="1"/>
  <c r="M46" i="1"/>
  <c r="M32" i="1"/>
  <c r="M60" i="1"/>
  <c r="O69" i="1" l="1"/>
  <c r="N15" i="1"/>
  <c r="N46" i="1"/>
  <c r="N32" i="1"/>
  <c r="N60" i="1"/>
  <c r="P69" i="1" l="1"/>
  <c r="O15" i="1"/>
  <c r="O32" i="1"/>
  <c r="O46" i="1"/>
  <c r="O60" i="1"/>
  <c r="Q69" i="1" l="1"/>
  <c r="P15" i="1"/>
  <c r="P32" i="1"/>
  <c r="P60" i="1"/>
  <c r="P46" i="1"/>
  <c r="R69" i="1" l="1"/>
  <c r="Q15" i="1"/>
  <c r="Q46" i="1"/>
  <c r="Q32" i="1"/>
  <c r="Q60" i="1"/>
  <c r="S69" i="1" l="1"/>
  <c r="R15" i="1"/>
  <c r="R46" i="1"/>
  <c r="R32" i="1"/>
  <c r="R60" i="1"/>
  <c r="T69" i="1" l="1"/>
  <c r="S15" i="1"/>
  <c r="S32" i="1"/>
  <c r="S60" i="1"/>
  <c r="S46" i="1"/>
  <c r="U69" i="1" l="1"/>
  <c r="T15" i="1"/>
  <c r="T32" i="1"/>
  <c r="T60" i="1"/>
  <c r="T46" i="1"/>
  <c r="V69" i="1" l="1"/>
  <c r="U15" i="1"/>
  <c r="U46" i="1"/>
  <c r="U32" i="1"/>
  <c r="U60" i="1"/>
  <c r="W69" i="1" l="1"/>
  <c r="V15" i="1"/>
  <c r="V46" i="1"/>
  <c r="V32" i="1"/>
  <c r="V60" i="1"/>
  <c r="X69" i="1" l="1"/>
  <c r="W15" i="1"/>
  <c r="W32" i="1"/>
  <c r="W60" i="1"/>
  <c r="W46" i="1"/>
  <c r="Y69" i="1" l="1"/>
  <c r="X15" i="1"/>
  <c r="X32" i="1"/>
  <c r="X60" i="1"/>
  <c r="X46" i="1"/>
  <c r="Z69" i="1" l="1"/>
  <c r="Y15" i="1"/>
  <c r="Y32" i="1"/>
  <c r="Y60" i="1"/>
  <c r="Y46" i="1"/>
  <c r="AA69" i="1" l="1"/>
  <c r="Z15" i="1"/>
  <c r="Z46" i="1"/>
  <c r="Z32" i="1"/>
  <c r="Z60" i="1"/>
  <c r="AB69" i="1" l="1"/>
  <c r="AA15" i="1"/>
  <c r="AA32" i="1"/>
  <c r="AA46" i="1"/>
  <c r="AA60" i="1"/>
  <c r="AC69" i="1" l="1"/>
  <c r="AB15" i="1"/>
  <c r="AB32" i="1"/>
  <c r="AB60" i="1"/>
  <c r="AB46" i="1"/>
  <c r="AD69" i="1" l="1"/>
  <c r="AC15" i="1"/>
  <c r="AC46" i="1"/>
  <c r="AC32" i="1"/>
  <c r="AC60" i="1"/>
  <c r="AD15" i="1" l="1"/>
  <c r="AD46" i="1"/>
  <c r="AD32" i="1"/>
  <c r="AD60" i="1"/>
</calcChain>
</file>

<file path=xl/sharedStrings.xml><?xml version="1.0" encoding="utf-8"?>
<sst xmlns="http://schemas.openxmlformats.org/spreadsheetml/2006/main" count="88" uniqueCount="38">
  <si>
    <t>NAFLD</t>
  </si>
  <si>
    <t>Unin1</t>
  </si>
  <si>
    <t>Unin2</t>
  </si>
  <si>
    <t>Steatosis</t>
  </si>
  <si>
    <t>NASH</t>
  </si>
  <si>
    <t>Non-NAFLD</t>
  </si>
  <si>
    <t>Cirrhosis</t>
  </si>
  <si>
    <t>HCC</t>
  </si>
  <si>
    <t>LiverDeath</t>
  </si>
  <si>
    <t>NaturalDeath</t>
  </si>
  <si>
    <t>OtherDeath</t>
  </si>
  <si>
    <t>CHD</t>
  </si>
  <si>
    <t>T2D</t>
  </si>
  <si>
    <t>Non-CHD</t>
  </si>
  <si>
    <t>CHDDeath</t>
  </si>
  <si>
    <t>Non-T2D</t>
  </si>
  <si>
    <t>T2DDeath</t>
  </si>
  <si>
    <t>BMI</t>
  </si>
  <si>
    <t>Healthy weight</t>
  </si>
  <si>
    <t>Overweight</t>
  </si>
  <si>
    <t>Obese</t>
  </si>
  <si>
    <t>Other death</t>
  </si>
  <si>
    <t>Excel</t>
  </si>
  <si>
    <t>GO</t>
  </si>
  <si>
    <t>Cumulative dead:</t>
  </si>
  <si>
    <t>All models</t>
  </si>
  <si>
    <t>Total simulated:</t>
  </si>
  <si>
    <t>Cycles</t>
  </si>
  <si>
    <t>Age</t>
  </si>
  <si>
    <t>How exactly are the cycles going? Now it's -2 until 25, but should it be -1 until 26? Or 0 to 27? I am not sure which is which.</t>
  </si>
  <si>
    <t>NH-White</t>
  </si>
  <si>
    <t>NH-Black</t>
  </si>
  <si>
    <t>Hispanic</t>
  </si>
  <si>
    <t>Otherdeath</t>
  </si>
  <si>
    <t>Male</t>
  </si>
  <si>
    <t>Female</t>
  </si>
  <si>
    <t>High Fructose</t>
  </si>
  <si>
    <t>Low Fructose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</si>
</sst>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64" fontId="0" fillId="0" borderId="0" xfId="0" applyNumberForma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'Disease prevalence'!$C$15</c:f>
              <c:strCache>
                <c:ptCount val="1"/>
                <c:pt idx="0">
                  <c:v>Non-NAFLD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prevalence'!$F$15:$AE$15</c:f>
              <c:numCache>
                <c:formatCode>General</c:formatCode>
                <c:ptCount val="26"/>
                <c:pt idx="0">
                  <c:v>15750</c:v>
                </c:pt>
                <c:pt idx="1">
                  <c:v>15331</c:v>
                </c:pt>
                <c:pt idx="2">
                  <c:v>14961</c:v>
                </c:pt>
                <c:pt idx="3">
                  <c:v>14622</c:v>
                </c:pt>
                <c:pt idx="4">
                  <c:v>14278</c:v>
                </c:pt>
                <c:pt idx="5">
                  <c:v>13943</c:v>
                </c:pt>
                <c:pt idx="6">
                  <c:v>13626</c:v>
                </c:pt>
                <c:pt idx="7">
                  <c:v>13354</c:v>
                </c:pt>
                <c:pt idx="8">
                  <c:v>13033</c:v>
                </c:pt>
                <c:pt idx="9">
                  <c:v>12766</c:v>
                </c:pt>
                <c:pt idx="10">
                  <c:v>12568</c:v>
                </c:pt>
                <c:pt idx="11">
                  <c:v>12396</c:v>
                </c:pt>
                <c:pt idx="12">
                  <c:v>12197</c:v>
                </c:pt>
                <c:pt idx="13">
                  <c:v>11965</c:v>
                </c:pt>
                <c:pt idx="14">
                  <c:v>11754</c:v>
                </c:pt>
                <c:pt idx="15">
                  <c:v>11512</c:v>
                </c:pt>
                <c:pt idx="16">
                  <c:v>11327</c:v>
                </c:pt>
                <c:pt idx="17">
                  <c:v>11179</c:v>
                </c:pt>
                <c:pt idx="18">
                  <c:v>11014</c:v>
                </c:pt>
                <c:pt idx="19">
                  <c:v>10881</c:v>
                </c:pt>
                <c:pt idx="20">
                  <c:v>10723</c:v>
                </c:pt>
                <c:pt idx="21">
                  <c:v>10610</c:v>
                </c:pt>
                <c:pt idx="22">
                  <c:v>10491</c:v>
                </c:pt>
                <c:pt idx="23">
                  <c:v>10394</c:v>
                </c:pt>
                <c:pt idx="24">
                  <c:v>10275</c:v>
                </c:pt>
              </c:numCache>
            </c:numRef>
          </c:val>
        </c:ser>
        <c:ser>
          <c:idx val="2"/>
          <c:order val="1"/>
          <c:tx>
            <c:strRef>
              <c:f>'Disease prevalence'!$C$16</c:f>
              <c:strCache>
                <c:ptCount val="1"/>
                <c:pt idx="0">
                  <c:v>Steatosis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prevalence'!$F$16:$AE$16</c:f>
              <c:numCache>
                <c:formatCode>General</c:formatCode>
                <c:ptCount val="26"/>
                <c:pt idx="0">
                  <c:v>5170</c:v>
                </c:pt>
                <c:pt idx="1">
                  <c:v>5624</c:v>
                </c:pt>
                <c:pt idx="2">
                  <c:v>6023</c:v>
                </c:pt>
                <c:pt idx="3">
                  <c:v>6338</c:v>
                </c:pt>
                <c:pt idx="4">
                  <c:v>6671</c:v>
                </c:pt>
                <c:pt idx="5">
                  <c:v>6950</c:v>
                </c:pt>
                <c:pt idx="6">
                  <c:v>7191</c:v>
                </c:pt>
                <c:pt idx="7">
                  <c:v>7388</c:v>
                </c:pt>
                <c:pt idx="8">
                  <c:v>7623</c:v>
                </c:pt>
                <c:pt idx="9">
                  <c:v>7775</c:v>
                </c:pt>
                <c:pt idx="10">
                  <c:v>7895</c:v>
                </c:pt>
                <c:pt idx="11">
                  <c:v>7992</c:v>
                </c:pt>
                <c:pt idx="12">
                  <c:v>8099</c:v>
                </c:pt>
                <c:pt idx="13">
                  <c:v>8244</c:v>
                </c:pt>
                <c:pt idx="14">
                  <c:v>8363</c:v>
                </c:pt>
                <c:pt idx="15">
                  <c:v>8520</c:v>
                </c:pt>
                <c:pt idx="16">
                  <c:v>8577</c:v>
                </c:pt>
                <c:pt idx="17">
                  <c:v>8614</c:v>
                </c:pt>
                <c:pt idx="18">
                  <c:v>8648</c:v>
                </c:pt>
                <c:pt idx="19">
                  <c:v>8665</c:v>
                </c:pt>
                <c:pt idx="20">
                  <c:v>8731</c:v>
                </c:pt>
                <c:pt idx="21">
                  <c:v>8781</c:v>
                </c:pt>
                <c:pt idx="22">
                  <c:v>8783</c:v>
                </c:pt>
                <c:pt idx="23">
                  <c:v>8784</c:v>
                </c:pt>
                <c:pt idx="24">
                  <c:v>8785</c:v>
                </c:pt>
              </c:numCache>
            </c:numRef>
          </c:val>
        </c:ser>
        <c:ser>
          <c:idx val="3"/>
          <c:order val="2"/>
          <c:tx>
            <c:strRef>
              <c:f>'Disease prevalence'!$C$17</c:f>
              <c:strCache>
                <c:ptCount val="1"/>
                <c:pt idx="0">
                  <c:v>NASH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prevalence'!$F$17:$AE$17</c:f>
              <c:numCache>
                <c:formatCode>General</c:formatCode>
                <c:ptCount val="26"/>
                <c:pt idx="0">
                  <c:v>1330</c:v>
                </c:pt>
                <c:pt idx="1">
                  <c:v>1441</c:v>
                </c:pt>
                <c:pt idx="2">
                  <c:v>1554</c:v>
                </c:pt>
                <c:pt idx="3">
                  <c:v>1682</c:v>
                </c:pt>
                <c:pt idx="4">
                  <c:v>1796</c:v>
                </c:pt>
                <c:pt idx="5">
                  <c:v>1914</c:v>
                </c:pt>
                <c:pt idx="6">
                  <c:v>2052</c:v>
                </c:pt>
                <c:pt idx="7">
                  <c:v>2188</c:v>
                </c:pt>
                <c:pt idx="8">
                  <c:v>2317</c:v>
                </c:pt>
                <c:pt idx="9">
                  <c:v>2466</c:v>
                </c:pt>
                <c:pt idx="10">
                  <c:v>2609</c:v>
                </c:pt>
                <c:pt idx="11">
                  <c:v>2745</c:v>
                </c:pt>
                <c:pt idx="12">
                  <c:v>2889</c:v>
                </c:pt>
                <c:pt idx="13">
                  <c:v>3019</c:v>
                </c:pt>
                <c:pt idx="14">
                  <c:v>3151</c:v>
                </c:pt>
                <c:pt idx="15">
                  <c:v>3267</c:v>
                </c:pt>
                <c:pt idx="16">
                  <c:v>3422</c:v>
                </c:pt>
                <c:pt idx="17">
                  <c:v>3530</c:v>
                </c:pt>
                <c:pt idx="18">
                  <c:v>3633</c:v>
                </c:pt>
                <c:pt idx="19">
                  <c:v>3756</c:v>
                </c:pt>
                <c:pt idx="20">
                  <c:v>3829</c:v>
                </c:pt>
                <c:pt idx="21">
                  <c:v>3909</c:v>
                </c:pt>
                <c:pt idx="22">
                  <c:v>4019</c:v>
                </c:pt>
                <c:pt idx="23">
                  <c:v>4126</c:v>
                </c:pt>
                <c:pt idx="24">
                  <c:v>4239</c:v>
                </c:pt>
              </c:numCache>
            </c:numRef>
          </c:val>
        </c:ser>
        <c:ser>
          <c:idx val="4"/>
          <c:order val="3"/>
          <c:tx>
            <c:strRef>
              <c:f>'Disease prevalence'!$C$18</c:f>
              <c:strCache>
                <c:ptCount val="1"/>
                <c:pt idx="0">
                  <c:v>Cirrhosis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prevalence'!$F$18:$AE$18</c:f>
              <c:numCache>
                <c:formatCode>General</c:formatCode>
                <c:ptCount val="26"/>
                <c:pt idx="0">
                  <c:v>150</c:v>
                </c:pt>
                <c:pt idx="1">
                  <c:v>153</c:v>
                </c:pt>
                <c:pt idx="2">
                  <c:v>168</c:v>
                </c:pt>
                <c:pt idx="3">
                  <c:v>181</c:v>
                </c:pt>
                <c:pt idx="4">
                  <c:v>205</c:v>
                </c:pt>
                <c:pt idx="5">
                  <c:v>224</c:v>
                </c:pt>
                <c:pt idx="6">
                  <c:v>240</c:v>
                </c:pt>
                <c:pt idx="7">
                  <c:v>266</c:v>
                </c:pt>
                <c:pt idx="8">
                  <c:v>269</c:v>
                </c:pt>
                <c:pt idx="9">
                  <c:v>291</c:v>
                </c:pt>
                <c:pt idx="10">
                  <c:v>315</c:v>
                </c:pt>
                <c:pt idx="11">
                  <c:v>335</c:v>
                </c:pt>
                <c:pt idx="12">
                  <c:v>358</c:v>
                </c:pt>
                <c:pt idx="13">
                  <c:v>373</c:v>
                </c:pt>
                <c:pt idx="14">
                  <c:v>390</c:v>
                </c:pt>
                <c:pt idx="15">
                  <c:v>414</c:v>
                </c:pt>
                <c:pt idx="16">
                  <c:v>436</c:v>
                </c:pt>
                <c:pt idx="17">
                  <c:v>451</c:v>
                </c:pt>
                <c:pt idx="18">
                  <c:v>469</c:v>
                </c:pt>
                <c:pt idx="19">
                  <c:v>484</c:v>
                </c:pt>
                <c:pt idx="20">
                  <c:v>513</c:v>
                </c:pt>
                <c:pt idx="21">
                  <c:v>548</c:v>
                </c:pt>
                <c:pt idx="22">
                  <c:v>583</c:v>
                </c:pt>
                <c:pt idx="23">
                  <c:v>594</c:v>
                </c:pt>
                <c:pt idx="24">
                  <c:v>609</c:v>
                </c:pt>
              </c:numCache>
            </c:numRef>
          </c:val>
        </c:ser>
        <c:ser>
          <c:idx val="5"/>
          <c:order val="4"/>
          <c:tx>
            <c:strRef>
              <c:f>'Disease prevalence'!$C$19</c:f>
              <c:strCache>
                <c:ptCount val="1"/>
                <c:pt idx="0">
                  <c:v>HCC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prevalence'!$F$3:$AE$3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prevalence'!$F$19:$AE$19</c:f>
              <c:numCache>
                <c:formatCode>General</c:formatCode>
                <c:ptCount val="26"/>
                <c:pt idx="0">
                  <c:v>0</c:v>
                </c:pt>
                <c:pt idx="1">
                  <c:v>6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6</c:v>
                </c:pt>
                <c:pt idx="6">
                  <c:v>4</c:v>
                </c:pt>
                <c:pt idx="7">
                  <c:v>2</c:v>
                </c:pt>
                <c:pt idx="8">
                  <c:v>9</c:v>
                </c:pt>
                <c:pt idx="9">
                  <c:v>0</c:v>
                </c:pt>
                <c:pt idx="10">
                  <c:v>3</c:v>
                </c:pt>
                <c:pt idx="11">
                  <c:v>7</c:v>
                </c:pt>
                <c:pt idx="12">
                  <c:v>1</c:v>
                </c:pt>
                <c:pt idx="13">
                  <c:v>6</c:v>
                </c:pt>
                <c:pt idx="14">
                  <c:v>5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  <c:pt idx="18">
                  <c:v>13</c:v>
                </c:pt>
                <c:pt idx="19">
                  <c:v>9</c:v>
                </c:pt>
                <c:pt idx="20">
                  <c:v>6</c:v>
                </c:pt>
                <c:pt idx="21">
                  <c:v>7</c:v>
                </c:pt>
                <c:pt idx="22">
                  <c:v>4</c:v>
                </c:pt>
                <c:pt idx="23">
                  <c:v>12</c:v>
                </c:pt>
                <c:pt idx="24">
                  <c:v>12</c:v>
                </c:pt>
              </c:numCache>
            </c:numRef>
          </c:val>
        </c:ser>
        <c:ser>
          <c:idx val="6"/>
          <c:order val="5"/>
          <c:tx>
            <c:strRef>
              <c:f>'Disease prevalence'!$C$20</c:f>
              <c:strCache>
                <c:ptCount val="1"/>
                <c:pt idx="0">
                  <c:v>LiverDeath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prevalence'!$F$3:$AE$3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prevalence'!$F$20:$AE$20</c:f>
              <c:numCache>
                <c:formatCode>General</c:formatCode>
                <c:ptCount val="26"/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9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19</c:v>
                </c:pt>
                <c:pt idx="10">
                  <c:v>19</c:v>
                </c:pt>
                <c:pt idx="11">
                  <c:v>22</c:v>
                </c:pt>
                <c:pt idx="12">
                  <c:v>25</c:v>
                </c:pt>
                <c:pt idx="13">
                  <c:v>25</c:v>
                </c:pt>
                <c:pt idx="14">
                  <c:v>27</c:v>
                </c:pt>
                <c:pt idx="15">
                  <c:v>28</c:v>
                </c:pt>
                <c:pt idx="16">
                  <c:v>29</c:v>
                </c:pt>
                <c:pt idx="17">
                  <c:v>34</c:v>
                </c:pt>
                <c:pt idx="18">
                  <c:v>37</c:v>
                </c:pt>
                <c:pt idx="19">
                  <c:v>42</c:v>
                </c:pt>
                <c:pt idx="20">
                  <c:v>46</c:v>
                </c:pt>
                <c:pt idx="21">
                  <c:v>48</c:v>
                </c:pt>
                <c:pt idx="22">
                  <c:v>53</c:v>
                </c:pt>
                <c:pt idx="23">
                  <c:v>53</c:v>
                </c:pt>
                <c:pt idx="24">
                  <c:v>58</c:v>
                </c:pt>
              </c:numCache>
            </c:numRef>
          </c:val>
        </c:ser>
        <c:ser>
          <c:idx val="7"/>
          <c:order val="6"/>
          <c:tx>
            <c:strRef>
              <c:f>'Disease prevalence'!$C$21</c:f>
              <c:strCache>
                <c:ptCount val="1"/>
                <c:pt idx="0">
                  <c:v>NaturalDeath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prevalence'!$F$3:$AE$3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prevalence'!$F$21:$AE$21</c:f>
              <c:numCache>
                <c:formatCode>General</c:formatCode>
                <c:ptCount val="26"/>
                <c:pt idx="1">
                  <c:v>161</c:v>
                </c:pt>
                <c:pt idx="2">
                  <c:v>314</c:v>
                </c:pt>
                <c:pt idx="3">
                  <c:v>503</c:v>
                </c:pt>
                <c:pt idx="4">
                  <c:v>675</c:v>
                </c:pt>
                <c:pt idx="5">
                  <c:v>890</c:v>
                </c:pt>
                <c:pt idx="6">
                  <c:v>1097</c:v>
                </c:pt>
                <c:pt idx="7">
                  <c:v>1300</c:v>
                </c:pt>
                <c:pt idx="8">
                  <c:v>1518</c:v>
                </c:pt>
                <c:pt idx="9">
                  <c:v>1749</c:v>
                </c:pt>
                <c:pt idx="10">
                  <c:v>1947</c:v>
                </c:pt>
                <c:pt idx="11">
                  <c:v>2138</c:v>
                </c:pt>
                <c:pt idx="12">
                  <c:v>2340</c:v>
                </c:pt>
                <c:pt idx="13">
                  <c:v>2541</c:v>
                </c:pt>
                <c:pt idx="14">
                  <c:v>2733</c:v>
                </c:pt>
                <c:pt idx="15">
                  <c:v>2929</c:v>
                </c:pt>
                <c:pt idx="16">
                  <c:v>3127</c:v>
                </c:pt>
                <c:pt idx="17">
                  <c:v>3351</c:v>
                </c:pt>
                <c:pt idx="18">
                  <c:v>3571</c:v>
                </c:pt>
                <c:pt idx="19">
                  <c:v>3755</c:v>
                </c:pt>
                <c:pt idx="20">
                  <c:v>3975</c:v>
                </c:pt>
                <c:pt idx="21">
                  <c:v>4155</c:v>
                </c:pt>
                <c:pt idx="22">
                  <c:v>4368</c:v>
                </c:pt>
                <c:pt idx="23">
                  <c:v>4571</c:v>
                </c:pt>
                <c:pt idx="24">
                  <c:v>4774</c:v>
                </c:pt>
              </c:numCache>
            </c:numRef>
          </c:val>
        </c:ser>
        <c:ser>
          <c:idx val="8"/>
          <c:order val="7"/>
          <c:tx>
            <c:strRef>
              <c:f>'Disease prevalence'!$C$22</c:f>
              <c:strCache>
                <c:ptCount val="1"/>
                <c:pt idx="0">
                  <c:v>OtherDeath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prevalence'!$F$3:$AE$3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prevalence'!$F$22:$AE$22</c:f>
              <c:numCache>
                <c:formatCode>General</c:formatCode>
                <c:ptCount val="26"/>
                <c:pt idx="1">
                  <c:v>100</c:v>
                </c:pt>
                <c:pt idx="2">
                  <c:v>207</c:v>
                </c:pt>
                <c:pt idx="3">
                  <c:v>313</c:v>
                </c:pt>
                <c:pt idx="4">
                  <c:v>429</c:v>
                </c:pt>
                <c:pt idx="5">
                  <c:v>544</c:v>
                </c:pt>
                <c:pt idx="6">
                  <c:v>674</c:v>
                </c:pt>
                <c:pt idx="7">
                  <c:v>801</c:v>
                </c:pt>
                <c:pt idx="8">
                  <c:v>945</c:v>
                </c:pt>
                <c:pt idx="9">
                  <c:v>1078</c:v>
                </c:pt>
                <c:pt idx="10">
                  <c:v>1204</c:v>
                </c:pt>
                <c:pt idx="11">
                  <c:v>1341</c:v>
                </c:pt>
                <c:pt idx="12">
                  <c:v>1483</c:v>
                </c:pt>
                <c:pt idx="13">
                  <c:v>1635</c:v>
                </c:pt>
                <c:pt idx="14">
                  <c:v>1801</c:v>
                </c:pt>
                <c:pt idx="15">
                  <c:v>1966</c:v>
                </c:pt>
                <c:pt idx="16">
                  <c:v>2132</c:v>
                </c:pt>
                <c:pt idx="17">
                  <c:v>2305</c:v>
                </c:pt>
                <c:pt idx="18">
                  <c:v>2503</c:v>
                </c:pt>
                <c:pt idx="19">
                  <c:v>2712</c:v>
                </c:pt>
                <c:pt idx="20">
                  <c:v>2897</c:v>
                </c:pt>
                <c:pt idx="21">
                  <c:v>3078</c:v>
                </c:pt>
                <c:pt idx="22">
                  <c:v>3251</c:v>
                </c:pt>
                <c:pt idx="23">
                  <c:v>3434</c:v>
                </c:pt>
                <c:pt idx="24">
                  <c:v>3632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149888"/>
        <c:axId val="314172160"/>
      </c:areaChart>
      <c:catAx>
        <c:axId val="314149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4172160"/>
        <c:crosses val="autoZero"/>
        <c:auto val="1"/>
        <c:lblAlgn val="ctr"/>
        <c:lblOffset val="100"/>
        <c:noMultiLvlLbl val="0"/>
      </c:catAx>
      <c:valAx>
        <c:axId val="3141721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14149888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'Disease prevalence'!$C$15</c:f>
              <c:strCache>
                <c:ptCount val="1"/>
                <c:pt idx="0">
                  <c:v>Non-NAFLD</c:v>
                </c:pt>
              </c:strCache>
            </c:strRef>
          </c:tx>
          <c:cat>
            <c:numRef>
              <c:f>'Disease prevalence'!$F$3:$AD$3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prevalence'!$F$6:$AD$6</c:f>
              <c:numCache>
                <c:formatCode>General</c:formatCode>
                <c:ptCount val="25"/>
                <c:pt idx="0">
                  <c:v>15695</c:v>
                </c:pt>
                <c:pt idx="1">
                  <c:v>15687</c:v>
                </c:pt>
                <c:pt idx="2">
                  <c:v>15714</c:v>
                </c:pt>
                <c:pt idx="3">
                  <c:v>15736</c:v>
                </c:pt>
                <c:pt idx="4">
                  <c:v>15723</c:v>
                </c:pt>
                <c:pt idx="5">
                  <c:v>15699</c:v>
                </c:pt>
                <c:pt idx="6">
                  <c:v>15719</c:v>
                </c:pt>
                <c:pt idx="7">
                  <c:v>15727</c:v>
                </c:pt>
                <c:pt idx="8">
                  <c:v>15699</c:v>
                </c:pt>
                <c:pt idx="9">
                  <c:v>15697</c:v>
                </c:pt>
                <c:pt idx="10">
                  <c:v>15651</c:v>
                </c:pt>
                <c:pt idx="11">
                  <c:v>15642</c:v>
                </c:pt>
                <c:pt idx="12">
                  <c:v>15623</c:v>
                </c:pt>
                <c:pt idx="13">
                  <c:v>15637</c:v>
                </c:pt>
                <c:pt idx="14">
                  <c:v>15649</c:v>
                </c:pt>
                <c:pt idx="15">
                  <c:v>15648</c:v>
                </c:pt>
                <c:pt idx="16">
                  <c:v>15667</c:v>
                </c:pt>
                <c:pt idx="17">
                  <c:v>15696</c:v>
                </c:pt>
                <c:pt idx="18">
                  <c:v>15692</c:v>
                </c:pt>
                <c:pt idx="19">
                  <c:v>15668</c:v>
                </c:pt>
                <c:pt idx="20">
                  <c:v>15686</c:v>
                </c:pt>
                <c:pt idx="21">
                  <c:v>15703</c:v>
                </c:pt>
                <c:pt idx="22">
                  <c:v>15682</c:v>
                </c:pt>
                <c:pt idx="23">
                  <c:v>15696</c:v>
                </c:pt>
                <c:pt idx="24">
                  <c:v>15704</c:v>
                </c:pt>
              </c:numCache>
            </c:numRef>
          </c:val>
        </c:ser>
        <c:ser>
          <c:idx val="2"/>
          <c:order val="1"/>
          <c:tx>
            <c:strRef>
              <c:f>'Disease prevalence'!$C$16</c:f>
              <c:strCache>
                <c:ptCount val="1"/>
                <c:pt idx="0">
                  <c:v>Steatosis</c:v>
                </c:pt>
              </c:strCache>
            </c:strRef>
          </c:tx>
          <c:cat>
            <c:numRef>
              <c:f>'Disease prevalence'!$F$3:$AD$3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prevalence'!$F$7:$AD$7</c:f>
              <c:numCache>
                <c:formatCode>General</c:formatCode>
                <c:ptCount val="25"/>
                <c:pt idx="0">
                  <c:v>5208</c:v>
                </c:pt>
                <c:pt idx="1">
                  <c:v>5289</c:v>
                </c:pt>
                <c:pt idx="2">
                  <c:v>5340</c:v>
                </c:pt>
                <c:pt idx="3">
                  <c:v>5375</c:v>
                </c:pt>
                <c:pt idx="4">
                  <c:v>5476</c:v>
                </c:pt>
                <c:pt idx="5">
                  <c:v>5551</c:v>
                </c:pt>
                <c:pt idx="6">
                  <c:v>5620</c:v>
                </c:pt>
                <c:pt idx="7">
                  <c:v>5685</c:v>
                </c:pt>
                <c:pt idx="8">
                  <c:v>5712</c:v>
                </c:pt>
                <c:pt idx="9">
                  <c:v>5782</c:v>
                </c:pt>
                <c:pt idx="10">
                  <c:v>5851</c:v>
                </c:pt>
                <c:pt idx="11">
                  <c:v>5892</c:v>
                </c:pt>
                <c:pt idx="12">
                  <c:v>5931</c:v>
                </c:pt>
                <c:pt idx="13">
                  <c:v>5952</c:v>
                </c:pt>
                <c:pt idx="14">
                  <c:v>6007</c:v>
                </c:pt>
                <c:pt idx="15">
                  <c:v>6033</c:v>
                </c:pt>
                <c:pt idx="16">
                  <c:v>6037</c:v>
                </c:pt>
                <c:pt idx="17">
                  <c:v>6055</c:v>
                </c:pt>
                <c:pt idx="18">
                  <c:v>6116</c:v>
                </c:pt>
                <c:pt idx="19">
                  <c:v>6134</c:v>
                </c:pt>
                <c:pt idx="20">
                  <c:v>6130</c:v>
                </c:pt>
                <c:pt idx="21">
                  <c:v>6146</c:v>
                </c:pt>
                <c:pt idx="22">
                  <c:v>6165</c:v>
                </c:pt>
                <c:pt idx="23">
                  <c:v>6158</c:v>
                </c:pt>
                <c:pt idx="24">
                  <c:v>6180</c:v>
                </c:pt>
              </c:numCache>
            </c:numRef>
          </c:val>
        </c:ser>
        <c:ser>
          <c:idx val="3"/>
          <c:order val="2"/>
          <c:tx>
            <c:strRef>
              <c:f>'Disease prevalence'!$C$17</c:f>
              <c:strCache>
                <c:ptCount val="1"/>
                <c:pt idx="0">
                  <c:v>NASH</c:v>
                </c:pt>
              </c:strCache>
            </c:strRef>
          </c:tx>
          <c:cat>
            <c:numRef>
              <c:f>'Disease prevalence'!$F$3:$AD$3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prevalence'!$F$8:$AD$8</c:f>
              <c:numCache>
                <c:formatCode>General</c:formatCode>
                <c:ptCount val="25"/>
                <c:pt idx="0">
                  <c:v>1367</c:v>
                </c:pt>
                <c:pt idx="1">
                  <c:v>1364</c:v>
                </c:pt>
                <c:pt idx="2">
                  <c:v>1368</c:v>
                </c:pt>
                <c:pt idx="3">
                  <c:v>1364</c:v>
                </c:pt>
                <c:pt idx="4">
                  <c:v>1338</c:v>
                </c:pt>
                <c:pt idx="5">
                  <c:v>1345</c:v>
                </c:pt>
                <c:pt idx="6">
                  <c:v>1332</c:v>
                </c:pt>
                <c:pt idx="7">
                  <c:v>1325</c:v>
                </c:pt>
                <c:pt idx="8">
                  <c:v>1351</c:v>
                </c:pt>
                <c:pt idx="9">
                  <c:v>1341</c:v>
                </c:pt>
                <c:pt idx="10">
                  <c:v>1337</c:v>
                </c:pt>
                <c:pt idx="11">
                  <c:v>1345</c:v>
                </c:pt>
                <c:pt idx="12">
                  <c:v>1357</c:v>
                </c:pt>
                <c:pt idx="13">
                  <c:v>1357</c:v>
                </c:pt>
                <c:pt idx="14">
                  <c:v>1342</c:v>
                </c:pt>
                <c:pt idx="15">
                  <c:v>1340</c:v>
                </c:pt>
                <c:pt idx="16">
                  <c:v>1345</c:v>
                </c:pt>
                <c:pt idx="17">
                  <c:v>1350</c:v>
                </c:pt>
                <c:pt idx="18">
                  <c:v>1335</c:v>
                </c:pt>
                <c:pt idx="19">
                  <c:v>1365</c:v>
                </c:pt>
                <c:pt idx="20">
                  <c:v>1367</c:v>
                </c:pt>
                <c:pt idx="21">
                  <c:v>1350</c:v>
                </c:pt>
                <c:pt idx="22">
                  <c:v>1355</c:v>
                </c:pt>
                <c:pt idx="23">
                  <c:v>1359</c:v>
                </c:pt>
                <c:pt idx="24">
                  <c:v>1355</c:v>
                </c:pt>
              </c:numCache>
            </c:numRef>
          </c:val>
        </c:ser>
        <c:ser>
          <c:idx val="4"/>
          <c:order val="3"/>
          <c:tx>
            <c:strRef>
              <c:f>'Disease prevalence'!$C$18</c:f>
              <c:strCache>
                <c:ptCount val="1"/>
                <c:pt idx="0">
                  <c:v>Cirrhosis</c:v>
                </c:pt>
              </c:strCache>
            </c:strRef>
          </c:tx>
          <c:cat>
            <c:numRef>
              <c:f>'Disease prevalence'!$F$3:$AD$3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prevalence'!$F$9:$AD$9</c:f>
              <c:numCache>
                <c:formatCode>General</c:formatCode>
                <c:ptCount val="25"/>
                <c:pt idx="0">
                  <c:v>127</c:v>
                </c:pt>
                <c:pt idx="1">
                  <c:v>135</c:v>
                </c:pt>
                <c:pt idx="2">
                  <c:v>129</c:v>
                </c:pt>
                <c:pt idx="3">
                  <c:v>133</c:v>
                </c:pt>
                <c:pt idx="4">
                  <c:v>136</c:v>
                </c:pt>
                <c:pt idx="5">
                  <c:v>136</c:v>
                </c:pt>
                <c:pt idx="6">
                  <c:v>138</c:v>
                </c:pt>
                <c:pt idx="7">
                  <c:v>144</c:v>
                </c:pt>
                <c:pt idx="8">
                  <c:v>146</c:v>
                </c:pt>
                <c:pt idx="9">
                  <c:v>145</c:v>
                </c:pt>
                <c:pt idx="10">
                  <c:v>157</c:v>
                </c:pt>
                <c:pt idx="11">
                  <c:v>162</c:v>
                </c:pt>
                <c:pt idx="12">
                  <c:v>166</c:v>
                </c:pt>
                <c:pt idx="13">
                  <c:v>167</c:v>
                </c:pt>
                <c:pt idx="14">
                  <c:v>170</c:v>
                </c:pt>
                <c:pt idx="15">
                  <c:v>167</c:v>
                </c:pt>
                <c:pt idx="16">
                  <c:v>169</c:v>
                </c:pt>
                <c:pt idx="17">
                  <c:v>171</c:v>
                </c:pt>
                <c:pt idx="18">
                  <c:v>178</c:v>
                </c:pt>
                <c:pt idx="19">
                  <c:v>170</c:v>
                </c:pt>
                <c:pt idx="20">
                  <c:v>172</c:v>
                </c:pt>
                <c:pt idx="21">
                  <c:v>169</c:v>
                </c:pt>
                <c:pt idx="22">
                  <c:v>165</c:v>
                </c:pt>
                <c:pt idx="23">
                  <c:v>163</c:v>
                </c:pt>
                <c:pt idx="24">
                  <c:v>164</c:v>
                </c:pt>
              </c:numCache>
            </c:numRef>
          </c:val>
        </c:ser>
        <c:ser>
          <c:idx val="5"/>
          <c:order val="4"/>
          <c:tx>
            <c:strRef>
              <c:f>'Disease prevalence'!$C$19</c:f>
              <c:strCache>
                <c:ptCount val="1"/>
                <c:pt idx="0">
                  <c:v>HCC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prevalence'!$F$3:$AD$3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prevalence'!$F$10:$AD$10</c:f>
              <c:numCache>
                <c:formatCode>General</c:formatCode>
                <c:ptCount val="25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4</c:v>
                </c:pt>
                <c:pt idx="6">
                  <c:v>7</c:v>
                </c:pt>
                <c:pt idx="7">
                  <c:v>4</c:v>
                </c:pt>
                <c:pt idx="8">
                  <c:v>7</c:v>
                </c:pt>
                <c:pt idx="9">
                  <c:v>6</c:v>
                </c:pt>
                <c:pt idx="10">
                  <c:v>3</c:v>
                </c:pt>
                <c:pt idx="11">
                  <c:v>6</c:v>
                </c:pt>
                <c:pt idx="12">
                  <c:v>6</c:v>
                </c:pt>
                <c:pt idx="13">
                  <c:v>7</c:v>
                </c:pt>
                <c:pt idx="14">
                  <c:v>5</c:v>
                </c:pt>
                <c:pt idx="15">
                  <c:v>8</c:v>
                </c:pt>
                <c:pt idx="16">
                  <c:v>7</c:v>
                </c:pt>
                <c:pt idx="17">
                  <c:v>7</c:v>
                </c:pt>
                <c:pt idx="18">
                  <c:v>3</c:v>
                </c:pt>
                <c:pt idx="19">
                  <c:v>5</c:v>
                </c:pt>
                <c:pt idx="20">
                  <c:v>5</c:v>
                </c:pt>
                <c:pt idx="21">
                  <c:v>8</c:v>
                </c:pt>
                <c:pt idx="22">
                  <c:v>7</c:v>
                </c:pt>
                <c:pt idx="23">
                  <c:v>5</c:v>
                </c:pt>
                <c:pt idx="24">
                  <c:v>2</c:v>
                </c:pt>
              </c:numCache>
            </c:numRef>
          </c:val>
        </c:ser>
        <c:ser>
          <c:idx val="6"/>
          <c:order val="5"/>
          <c:tx>
            <c:strRef>
              <c:f>'Disease prevalence'!$C$20</c:f>
              <c:strCache>
                <c:ptCount val="1"/>
                <c:pt idx="0">
                  <c:v>LiverDeath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prevalence'!$F$3:$AD$3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10</c:v>
                </c:pt>
                <c:pt idx="2">
                  <c:v>24</c:v>
                </c:pt>
                <c:pt idx="3">
                  <c:v>40</c:v>
                </c:pt>
                <c:pt idx="4">
                  <c:v>54</c:v>
                </c:pt>
                <c:pt idx="5">
                  <c:v>73</c:v>
                </c:pt>
                <c:pt idx="6">
                  <c:v>82</c:v>
                </c:pt>
                <c:pt idx="7">
                  <c:v>96</c:v>
                </c:pt>
                <c:pt idx="8">
                  <c:v>109</c:v>
                </c:pt>
                <c:pt idx="9">
                  <c:v>120</c:v>
                </c:pt>
                <c:pt idx="10">
                  <c:v>129</c:v>
                </c:pt>
                <c:pt idx="11">
                  <c:v>142</c:v>
                </c:pt>
                <c:pt idx="12">
                  <c:v>150</c:v>
                </c:pt>
                <c:pt idx="13">
                  <c:v>164</c:v>
                </c:pt>
                <c:pt idx="14">
                  <c:v>177</c:v>
                </c:pt>
                <c:pt idx="15">
                  <c:v>188</c:v>
                </c:pt>
                <c:pt idx="16">
                  <c:v>208</c:v>
                </c:pt>
                <c:pt idx="17">
                  <c:v>223</c:v>
                </c:pt>
                <c:pt idx="18">
                  <c:v>240</c:v>
                </c:pt>
                <c:pt idx="19">
                  <c:v>254</c:v>
                </c:pt>
                <c:pt idx="20">
                  <c:v>264</c:v>
                </c:pt>
                <c:pt idx="21">
                  <c:v>280</c:v>
                </c:pt>
                <c:pt idx="22">
                  <c:v>298</c:v>
                </c:pt>
                <c:pt idx="23">
                  <c:v>317</c:v>
                </c:pt>
                <c:pt idx="24">
                  <c:v>335</c:v>
                </c:pt>
              </c:numCache>
            </c:numRef>
          </c:val>
        </c:ser>
        <c:ser>
          <c:idx val="7"/>
          <c:order val="6"/>
          <c:tx>
            <c:strRef>
              <c:f>'Disease prevalence'!$C$21</c:f>
              <c:strCache>
                <c:ptCount val="1"/>
                <c:pt idx="0">
                  <c:v>NaturalDeath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prevalence'!$F$3:$AD$3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216</c:v>
                </c:pt>
                <c:pt idx="2">
                  <c:v>429</c:v>
                </c:pt>
                <c:pt idx="3">
                  <c:v>660</c:v>
                </c:pt>
                <c:pt idx="4">
                  <c:v>885</c:v>
                </c:pt>
                <c:pt idx="5">
                  <c:v>1115</c:v>
                </c:pt>
                <c:pt idx="6">
                  <c:v>1330</c:v>
                </c:pt>
                <c:pt idx="7">
                  <c:v>1553</c:v>
                </c:pt>
                <c:pt idx="8">
                  <c:v>1802</c:v>
                </c:pt>
                <c:pt idx="9">
                  <c:v>2030</c:v>
                </c:pt>
                <c:pt idx="10">
                  <c:v>2270</c:v>
                </c:pt>
                <c:pt idx="11">
                  <c:v>2492</c:v>
                </c:pt>
                <c:pt idx="12">
                  <c:v>2734</c:v>
                </c:pt>
                <c:pt idx="13">
                  <c:v>2976</c:v>
                </c:pt>
                <c:pt idx="14">
                  <c:v>3195</c:v>
                </c:pt>
                <c:pt idx="15">
                  <c:v>3421</c:v>
                </c:pt>
                <c:pt idx="16">
                  <c:v>3653</c:v>
                </c:pt>
                <c:pt idx="17">
                  <c:v>3844</c:v>
                </c:pt>
                <c:pt idx="18">
                  <c:v>4066</c:v>
                </c:pt>
                <c:pt idx="19">
                  <c:v>4282</c:v>
                </c:pt>
                <c:pt idx="20">
                  <c:v>4526</c:v>
                </c:pt>
                <c:pt idx="21">
                  <c:v>4757</c:v>
                </c:pt>
                <c:pt idx="22">
                  <c:v>4998</c:v>
                </c:pt>
                <c:pt idx="23">
                  <c:v>5234</c:v>
                </c:pt>
                <c:pt idx="24">
                  <c:v>5451</c:v>
                </c:pt>
              </c:numCache>
            </c:numRef>
          </c:val>
        </c:ser>
        <c:ser>
          <c:idx val="8"/>
          <c:order val="7"/>
          <c:tx>
            <c:strRef>
              <c:f>'Disease prevalence'!$C$22</c:f>
              <c:strCache>
                <c:ptCount val="1"/>
                <c:pt idx="0">
                  <c:v>OtherDeath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prevalence'!$F$3:$AD$3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prevalence'!$F$13:$AD$13</c:f>
              <c:numCache>
                <c:formatCode>General</c:formatCode>
                <c:ptCount val="25"/>
                <c:pt idx="0">
                  <c:v>0</c:v>
                </c:pt>
                <c:pt idx="1">
                  <c:v>114</c:v>
                </c:pt>
                <c:pt idx="2">
                  <c:v>224</c:v>
                </c:pt>
                <c:pt idx="3">
                  <c:v>335</c:v>
                </c:pt>
                <c:pt idx="4">
                  <c:v>445</c:v>
                </c:pt>
                <c:pt idx="5">
                  <c:v>557</c:v>
                </c:pt>
                <c:pt idx="6">
                  <c:v>668</c:v>
                </c:pt>
                <c:pt idx="7">
                  <c:v>778</c:v>
                </c:pt>
                <c:pt idx="8">
                  <c:v>902</c:v>
                </c:pt>
                <c:pt idx="9">
                  <c:v>1023</c:v>
                </c:pt>
                <c:pt idx="10">
                  <c:v>1162</c:v>
                </c:pt>
                <c:pt idx="11">
                  <c:v>1295</c:v>
                </c:pt>
                <c:pt idx="12">
                  <c:v>1425</c:v>
                </c:pt>
                <c:pt idx="13">
                  <c:v>1548</c:v>
                </c:pt>
                <c:pt idx="14">
                  <c:v>1679</c:v>
                </c:pt>
                <c:pt idx="15">
                  <c:v>1835</c:v>
                </c:pt>
                <c:pt idx="16">
                  <c:v>1970</c:v>
                </c:pt>
                <c:pt idx="17">
                  <c:v>2126</c:v>
                </c:pt>
                <c:pt idx="18">
                  <c:v>2258</c:v>
                </c:pt>
                <c:pt idx="19">
                  <c:v>2426</c:v>
                </c:pt>
                <c:pt idx="20">
                  <c:v>2570</c:v>
                </c:pt>
                <c:pt idx="21">
                  <c:v>2723</c:v>
                </c:pt>
                <c:pt idx="22">
                  <c:v>2882</c:v>
                </c:pt>
                <c:pt idx="23">
                  <c:v>3036</c:v>
                </c:pt>
                <c:pt idx="24">
                  <c:v>3193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202368"/>
        <c:axId val="314216448"/>
      </c:areaChart>
      <c:catAx>
        <c:axId val="314202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4216448"/>
        <c:crosses val="autoZero"/>
        <c:auto val="1"/>
        <c:lblAlgn val="ctr"/>
        <c:lblOffset val="100"/>
        <c:noMultiLvlLbl val="0"/>
      </c:catAx>
      <c:valAx>
        <c:axId val="31421644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142023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594439794808744"/>
          <c:y val="0.13606695389491408"/>
          <c:w val="0.20802523328835523"/>
          <c:h val="0.72786569603327889"/>
        </c:manualLayout>
      </c:layout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'Disease prevalence'!$C$27</c:f>
              <c:strCache>
                <c:ptCount val="1"/>
                <c:pt idx="0">
                  <c:v>Non-CHD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prevalence'!$F$27:$AE$27</c:f>
              <c:numCache>
                <c:formatCode>General</c:formatCode>
                <c:ptCount val="26"/>
                <c:pt idx="0">
                  <c:v>20949</c:v>
                </c:pt>
                <c:pt idx="1">
                  <c:v>20997</c:v>
                </c:pt>
                <c:pt idx="2">
                  <c:v>21051</c:v>
                </c:pt>
                <c:pt idx="3">
                  <c:v>21070</c:v>
                </c:pt>
                <c:pt idx="4">
                  <c:v>21100</c:v>
                </c:pt>
                <c:pt idx="5">
                  <c:v>21116</c:v>
                </c:pt>
                <c:pt idx="6">
                  <c:v>21168</c:v>
                </c:pt>
                <c:pt idx="7">
                  <c:v>21191</c:v>
                </c:pt>
                <c:pt idx="8">
                  <c:v>21178</c:v>
                </c:pt>
                <c:pt idx="9">
                  <c:v>21189</c:v>
                </c:pt>
                <c:pt idx="10">
                  <c:v>21192</c:v>
                </c:pt>
                <c:pt idx="11">
                  <c:v>21201</c:v>
                </c:pt>
                <c:pt idx="12">
                  <c:v>21177</c:v>
                </c:pt>
                <c:pt idx="13">
                  <c:v>21164</c:v>
                </c:pt>
                <c:pt idx="14">
                  <c:v>21161</c:v>
                </c:pt>
                <c:pt idx="15">
                  <c:v>21146</c:v>
                </c:pt>
                <c:pt idx="16">
                  <c:v>21131</c:v>
                </c:pt>
                <c:pt idx="17">
                  <c:v>21164</c:v>
                </c:pt>
                <c:pt idx="18">
                  <c:v>21169</c:v>
                </c:pt>
                <c:pt idx="19">
                  <c:v>21164</c:v>
                </c:pt>
                <c:pt idx="20">
                  <c:v>21178</c:v>
                </c:pt>
                <c:pt idx="21">
                  <c:v>21161</c:v>
                </c:pt>
                <c:pt idx="22">
                  <c:v>21130</c:v>
                </c:pt>
                <c:pt idx="23">
                  <c:v>21090</c:v>
                </c:pt>
                <c:pt idx="24">
                  <c:v>21097</c:v>
                </c:pt>
              </c:numCache>
            </c:numRef>
          </c:val>
        </c:ser>
        <c:ser>
          <c:idx val="2"/>
          <c:order val="1"/>
          <c:tx>
            <c:strRef>
              <c:f>'Disease prevalence'!$C$28</c:f>
              <c:strCache>
                <c:ptCount val="1"/>
                <c:pt idx="0">
                  <c:v>CHD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prevalence'!$F$28:$AE$28</c:f>
              <c:numCache>
                <c:formatCode>General</c:formatCode>
                <c:ptCount val="26"/>
                <c:pt idx="0">
                  <c:v>1451</c:v>
                </c:pt>
                <c:pt idx="1">
                  <c:v>1479</c:v>
                </c:pt>
                <c:pt idx="2">
                  <c:v>1504</c:v>
                </c:pt>
                <c:pt idx="3">
                  <c:v>1543</c:v>
                </c:pt>
                <c:pt idx="4">
                  <c:v>1580</c:v>
                </c:pt>
                <c:pt idx="5">
                  <c:v>1619</c:v>
                </c:pt>
                <c:pt idx="6">
                  <c:v>1648</c:v>
                </c:pt>
                <c:pt idx="7">
                  <c:v>1694</c:v>
                </c:pt>
                <c:pt idx="8">
                  <c:v>1737</c:v>
                </c:pt>
                <c:pt idx="9">
                  <c:v>1782</c:v>
                </c:pt>
                <c:pt idx="10">
                  <c:v>1807</c:v>
                </c:pt>
                <c:pt idx="11">
                  <c:v>1846</c:v>
                </c:pt>
                <c:pt idx="12">
                  <c:v>1906</c:v>
                </c:pt>
                <c:pt idx="13">
                  <c:v>1956</c:v>
                </c:pt>
                <c:pt idx="14">
                  <c:v>2012</c:v>
                </c:pt>
                <c:pt idx="15">
                  <c:v>2050</c:v>
                </c:pt>
                <c:pt idx="16">
                  <c:v>2094</c:v>
                </c:pt>
                <c:pt idx="17">
                  <c:v>2115</c:v>
                </c:pt>
                <c:pt idx="18">
                  <c:v>2155</c:v>
                </c:pt>
                <c:pt idx="19">
                  <c:v>2178</c:v>
                </c:pt>
                <c:pt idx="20">
                  <c:v>2182</c:v>
                </c:pt>
                <c:pt idx="21">
                  <c:v>2215</c:v>
                </c:pt>
                <c:pt idx="22">
                  <c:v>2244</c:v>
                </c:pt>
                <c:pt idx="23">
                  <c:v>2291</c:v>
                </c:pt>
                <c:pt idx="24">
                  <c:v>2308</c:v>
                </c:pt>
              </c:numCache>
            </c:numRef>
          </c:val>
        </c:ser>
        <c:ser>
          <c:idx val="3"/>
          <c:order val="2"/>
          <c:tx>
            <c:strRef>
              <c:f>'Disease prevalence'!$C$29</c:f>
              <c:strCache>
                <c:ptCount val="1"/>
                <c:pt idx="0">
                  <c:v>CHDDeath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prevalence'!$F$29:$AE$29</c:f>
              <c:numCache>
                <c:formatCode>General</c:formatCode>
                <c:ptCount val="26"/>
                <c:pt idx="0">
                  <c:v>0</c:v>
                </c:pt>
                <c:pt idx="1">
                  <c:v>56</c:v>
                </c:pt>
                <c:pt idx="2">
                  <c:v>101</c:v>
                </c:pt>
                <c:pt idx="3">
                  <c:v>138</c:v>
                </c:pt>
                <c:pt idx="4">
                  <c:v>175</c:v>
                </c:pt>
                <c:pt idx="5">
                  <c:v>211</c:v>
                </c:pt>
                <c:pt idx="6">
                  <c:v>244</c:v>
                </c:pt>
                <c:pt idx="7">
                  <c:v>267</c:v>
                </c:pt>
                <c:pt idx="8">
                  <c:v>303</c:v>
                </c:pt>
                <c:pt idx="9">
                  <c:v>328</c:v>
                </c:pt>
                <c:pt idx="10">
                  <c:v>365</c:v>
                </c:pt>
                <c:pt idx="11">
                  <c:v>407</c:v>
                </c:pt>
                <c:pt idx="12">
                  <c:v>437</c:v>
                </c:pt>
                <c:pt idx="13">
                  <c:v>462</c:v>
                </c:pt>
                <c:pt idx="14">
                  <c:v>493</c:v>
                </c:pt>
                <c:pt idx="15">
                  <c:v>530</c:v>
                </c:pt>
                <c:pt idx="16">
                  <c:v>562</c:v>
                </c:pt>
                <c:pt idx="17">
                  <c:v>604</c:v>
                </c:pt>
                <c:pt idx="18">
                  <c:v>630</c:v>
                </c:pt>
                <c:pt idx="19">
                  <c:v>672</c:v>
                </c:pt>
                <c:pt idx="20">
                  <c:v>704</c:v>
                </c:pt>
                <c:pt idx="21">
                  <c:v>735</c:v>
                </c:pt>
                <c:pt idx="22">
                  <c:v>777</c:v>
                </c:pt>
                <c:pt idx="23">
                  <c:v>817</c:v>
                </c:pt>
                <c:pt idx="24">
                  <c:v>847</c:v>
                </c:pt>
              </c:numCache>
            </c:numRef>
          </c:val>
        </c:ser>
        <c:ser>
          <c:idx val="8"/>
          <c:order val="3"/>
          <c:tx>
            <c:strRef>
              <c:f>'Disease prevalence'!$C$30</c:f>
              <c:strCache>
                <c:ptCount val="1"/>
                <c:pt idx="0">
                  <c:v>OtherDeath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prevalence'!$F$3:$AE$3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prevalence'!$F$30:$AE$30</c:f>
              <c:numCache>
                <c:formatCode>General</c:formatCode>
                <c:ptCount val="26"/>
                <c:pt idx="0">
                  <c:v>0</c:v>
                </c:pt>
                <c:pt idx="1">
                  <c:v>284</c:v>
                </c:pt>
                <c:pt idx="2">
                  <c:v>576</c:v>
                </c:pt>
                <c:pt idx="3">
                  <c:v>897</c:v>
                </c:pt>
                <c:pt idx="4">
                  <c:v>1209</c:v>
                </c:pt>
                <c:pt idx="5">
                  <c:v>1534</c:v>
                </c:pt>
                <c:pt idx="6">
                  <c:v>1836</c:v>
                </c:pt>
                <c:pt idx="7">
                  <c:v>2160</c:v>
                </c:pt>
                <c:pt idx="8">
                  <c:v>2510</c:v>
                </c:pt>
                <c:pt idx="9">
                  <c:v>2845</c:v>
                </c:pt>
                <c:pt idx="10">
                  <c:v>3196</c:v>
                </c:pt>
                <c:pt idx="11">
                  <c:v>3522</c:v>
                </c:pt>
                <c:pt idx="12">
                  <c:v>3872</c:v>
                </c:pt>
                <c:pt idx="13">
                  <c:v>4226</c:v>
                </c:pt>
                <c:pt idx="14">
                  <c:v>4558</c:v>
                </c:pt>
                <c:pt idx="15">
                  <c:v>4914</c:v>
                </c:pt>
                <c:pt idx="16">
                  <c:v>5269</c:v>
                </c:pt>
                <c:pt idx="17">
                  <c:v>5589</c:v>
                </c:pt>
                <c:pt idx="18">
                  <c:v>5934</c:v>
                </c:pt>
                <c:pt idx="19">
                  <c:v>6290</c:v>
                </c:pt>
                <c:pt idx="20">
                  <c:v>6656</c:v>
                </c:pt>
                <c:pt idx="21">
                  <c:v>7025</c:v>
                </c:pt>
                <c:pt idx="22">
                  <c:v>7401</c:v>
                </c:pt>
                <c:pt idx="23">
                  <c:v>7770</c:v>
                </c:pt>
                <c:pt idx="24">
                  <c:v>8132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498496"/>
        <c:axId val="315500032"/>
      </c:areaChart>
      <c:catAx>
        <c:axId val="315498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5500032"/>
        <c:crosses val="autoZero"/>
        <c:auto val="1"/>
        <c:lblAlgn val="ctr"/>
        <c:lblOffset val="100"/>
        <c:noMultiLvlLbl val="0"/>
      </c:catAx>
      <c:valAx>
        <c:axId val="31550003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15498496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'Disease prevalence'!$C$32</c:f>
              <c:strCache>
                <c:ptCount val="1"/>
                <c:pt idx="0">
                  <c:v>Non-CHD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prevalence'!$F$32:$AE$32</c:f>
              <c:numCache>
                <c:formatCode>General</c:formatCode>
                <c:ptCount val="26"/>
                <c:pt idx="0">
                  <c:v>20997</c:v>
                </c:pt>
                <c:pt idx="1">
                  <c:v>21127</c:v>
                </c:pt>
                <c:pt idx="2">
                  <c:v>21234</c:v>
                </c:pt>
                <c:pt idx="3">
                  <c:v>21318</c:v>
                </c:pt>
                <c:pt idx="4">
                  <c:v>21456</c:v>
                </c:pt>
                <c:pt idx="5">
                  <c:v>21522</c:v>
                </c:pt>
                <c:pt idx="6">
                  <c:v>21564</c:v>
                </c:pt>
                <c:pt idx="7">
                  <c:v>21613</c:v>
                </c:pt>
                <c:pt idx="8">
                  <c:v>21667</c:v>
                </c:pt>
                <c:pt idx="9">
                  <c:v>21690</c:v>
                </c:pt>
                <c:pt idx="10">
                  <c:v>21759</c:v>
                </c:pt>
                <c:pt idx="11">
                  <c:v>21846</c:v>
                </c:pt>
                <c:pt idx="12">
                  <c:v>21895</c:v>
                </c:pt>
                <c:pt idx="13">
                  <c:v>21928</c:v>
                </c:pt>
                <c:pt idx="14">
                  <c:v>21969</c:v>
                </c:pt>
                <c:pt idx="15">
                  <c:v>22022</c:v>
                </c:pt>
                <c:pt idx="16">
                  <c:v>22052</c:v>
                </c:pt>
                <c:pt idx="17">
                  <c:v>22042</c:v>
                </c:pt>
                <c:pt idx="18">
                  <c:v>22046</c:v>
                </c:pt>
                <c:pt idx="19">
                  <c:v>22060</c:v>
                </c:pt>
                <c:pt idx="20">
                  <c:v>22029</c:v>
                </c:pt>
                <c:pt idx="21">
                  <c:v>22022</c:v>
                </c:pt>
                <c:pt idx="22">
                  <c:v>22059</c:v>
                </c:pt>
                <c:pt idx="23">
                  <c:v>22103</c:v>
                </c:pt>
                <c:pt idx="24">
                  <c:v>22096</c:v>
                </c:pt>
              </c:numCache>
            </c:numRef>
          </c:val>
        </c:ser>
        <c:ser>
          <c:idx val="2"/>
          <c:order val="1"/>
          <c:tx>
            <c:strRef>
              <c:f>'Disease prevalence'!$C$33</c:f>
              <c:strCache>
                <c:ptCount val="1"/>
                <c:pt idx="0">
                  <c:v>CHD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prevalence'!$F$33:$AE$33</c:f>
              <c:numCache>
                <c:formatCode>General</c:formatCode>
                <c:ptCount val="26"/>
                <c:pt idx="0">
                  <c:v>1403</c:v>
                </c:pt>
                <c:pt idx="1">
                  <c:v>1428</c:v>
                </c:pt>
                <c:pt idx="2">
                  <c:v>1474</c:v>
                </c:pt>
                <c:pt idx="3">
                  <c:v>1509</c:v>
                </c:pt>
                <c:pt idx="4">
                  <c:v>1497</c:v>
                </c:pt>
                <c:pt idx="5">
                  <c:v>1515</c:v>
                </c:pt>
                <c:pt idx="6">
                  <c:v>1549</c:v>
                </c:pt>
                <c:pt idx="7">
                  <c:v>1585</c:v>
                </c:pt>
                <c:pt idx="8">
                  <c:v>1584</c:v>
                </c:pt>
                <c:pt idx="9">
                  <c:v>1608</c:v>
                </c:pt>
                <c:pt idx="10">
                  <c:v>1631</c:v>
                </c:pt>
                <c:pt idx="11">
                  <c:v>1629</c:v>
                </c:pt>
                <c:pt idx="12">
                  <c:v>1649</c:v>
                </c:pt>
                <c:pt idx="13">
                  <c:v>1679</c:v>
                </c:pt>
                <c:pt idx="14">
                  <c:v>1694</c:v>
                </c:pt>
                <c:pt idx="15">
                  <c:v>1695</c:v>
                </c:pt>
                <c:pt idx="16">
                  <c:v>1716</c:v>
                </c:pt>
                <c:pt idx="17">
                  <c:v>1740</c:v>
                </c:pt>
                <c:pt idx="18">
                  <c:v>1731</c:v>
                </c:pt>
                <c:pt idx="19">
                  <c:v>1735</c:v>
                </c:pt>
                <c:pt idx="20">
                  <c:v>1773</c:v>
                </c:pt>
                <c:pt idx="21">
                  <c:v>1833</c:v>
                </c:pt>
                <c:pt idx="22">
                  <c:v>1821</c:v>
                </c:pt>
                <c:pt idx="23">
                  <c:v>1807</c:v>
                </c:pt>
                <c:pt idx="24">
                  <c:v>1824</c:v>
                </c:pt>
              </c:numCache>
            </c:numRef>
          </c:val>
        </c:ser>
        <c:ser>
          <c:idx val="3"/>
          <c:order val="2"/>
          <c:tx>
            <c:strRef>
              <c:f>'Disease prevalence'!$C$34</c:f>
              <c:strCache>
                <c:ptCount val="1"/>
                <c:pt idx="0">
                  <c:v>CHDDeath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prevalence'!$F$34:$AE$34</c:f>
              <c:numCache>
                <c:formatCode>General</c:formatCode>
                <c:ptCount val="26"/>
                <c:pt idx="1">
                  <c:v>28</c:v>
                </c:pt>
                <c:pt idx="2">
                  <c:v>66</c:v>
                </c:pt>
                <c:pt idx="3">
                  <c:v>98</c:v>
                </c:pt>
                <c:pt idx="4">
                  <c:v>136</c:v>
                </c:pt>
                <c:pt idx="5">
                  <c:v>174</c:v>
                </c:pt>
                <c:pt idx="6">
                  <c:v>216</c:v>
                </c:pt>
                <c:pt idx="7">
                  <c:v>253</c:v>
                </c:pt>
                <c:pt idx="8">
                  <c:v>314</c:v>
                </c:pt>
                <c:pt idx="9">
                  <c:v>358</c:v>
                </c:pt>
                <c:pt idx="10">
                  <c:v>403</c:v>
                </c:pt>
                <c:pt idx="11">
                  <c:v>449</c:v>
                </c:pt>
                <c:pt idx="12">
                  <c:v>497</c:v>
                </c:pt>
                <c:pt idx="13">
                  <c:v>530</c:v>
                </c:pt>
                <c:pt idx="14">
                  <c:v>591</c:v>
                </c:pt>
                <c:pt idx="15">
                  <c:v>637</c:v>
                </c:pt>
                <c:pt idx="16">
                  <c:v>671</c:v>
                </c:pt>
                <c:pt idx="17">
                  <c:v>711</c:v>
                </c:pt>
                <c:pt idx="18">
                  <c:v>765</c:v>
                </c:pt>
                <c:pt idx="19">
                  <c:v>823</c:v>
                </c:pt>
                <c:pt idx="20">
                  <c:v>865</c:v>
                </c:pt>
                <c:pt idx="21">
                  <c:v>904</c:v>
                </c:pt>
                <c:pt idx="22">
                  <c:v>948</c:v>
                </c:pt>
                <c:pt idx="23">
                  <c:v>1001</c:v>
                </c:pt>
                <c:pt idx="24">
                  <c:v>1049</c:v>
                </c:pt>
              </c:numCache>
            </c:numRef>
          </c:val>
        </c:ser>
        <c:ser>
          <c:idx val="8"/>
          <c:order val="3"/>
          <c:tx>
            <c:strRef>
              <c:f>'Disease prevalence'!$C$35</c:f>
              <c:strCache>
                <c:ptCount val="1"/>
                <c:pt idx="0">
                  <c:v>OtherDeath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prevalence'!$F$3:$AE$3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'Disease prevalence'!$F$35:$AE$35</c:f>
              <c:numCache>
                <c:formatCode>General</c:formatCode>
                <c:ptCount val="26"/>
                <c:pt idx="1">
                  <c:v>233</c:v>
                </c:pt>
                <c:pt idx="2">
                  <c:v>458</c:v>
                </c:pt>
                <c:pt idx="3">
                  <c:v>723</c:v>
                </c:pt>
                <c:pt idx="4">
                  <c:v>975</c:v>
                </c:pt>
                <c:pt idx="5">
                  <c:v>1269</c:v>
                </c:pt>
                <c:pt idx="6">
                  <c:v>1567</c:v>
                </c:pt>
                <c:pt idx="7">
                  <c:v>1861</c:v>
                </c:pt>
                <c:pt idx="8">
                  <c:v>2163</c:v>
                </c:pt>
                <c:pt idx="9">
                  <c:v>2488</c:v>
                </c:pt>
                <c:pt idx="10">
                  <c:v>2767</c:v>
                </c:pt>
                <c:pt idx="11">
                  <c:v>3052</c:v>
                </c:pt>
                <c:pt idx="12">
                  <c:v>3351</c:v>
                </c:pt>
                <c:pt idx="13">
                  <c:v>3671</c:v>
                </c:pt>
                <c:pt idx="14">
                  <c:v>3970</c:v>
                </c:pt>
                <c:pt idx="15">
                  <c:v>4286</c:v>
                </c:pt>
                <c:pt idx="16">
                  <c:v>4617</c:v>
                </c:pt>
                <c:pt idx="17">
                  <c:v>4979</c:v>
                </c:pt>
                <c:pt idx="18">
                  <c:v>5346</c:v>
                </c:pt>
                <c:pt idx="19">
                  <c:v>5686</c:v>
                </c:pt>
                <c:pt idx="20">
                  <c:v>6053</c:v>
                </c:pt>
                <c:pt idx="21">
                  <c:v>6377</c:v>
                </c:pt>
                <c:pt idx="22">
                  <c:v>6724</c:v>
                </c:pt>
                <c:pt idx="23">
                  <c:v>7057</c:v>
                </c:pt>
                <c:pt idx="24">
                  <c:v>7415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530624"/>
        <c:axId val="315540608"/>
      </c:areaChart>
      <c:catAx>
        <c:axId val="315530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5540608"/>
        <c:crosses val="autoZero"/>
        <c:auto val="1"/>
        <c:lblAlgn val="ctr"/>
        <c:lblOffset val="100"/>
        <c:noMultiLvlLbl val="0"/>
      </c:catAx>
      <c:valAx>
        <c:axId val="3155406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15530624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8</xdr:row>
      <xdr:rowOff>57150</xdr:rowOff>
    </xdr:from>
    <xdr:to>
      <xdr:col>20</xdr:col>
      <xdr:colOff>457200</xdr:colOff>
      <xdr:row>21</xdr:row>
      <xdr:rowOff>19050</xdr:rowOff>
    </xdr:to>
    <xdr:graphicFrame macro="">
      <xdr:nvGraphicFramePr>
        <xdr:cNvPr id="3" name="Grafiek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142875</xdr:colOff>
      <xdr:row>3</xdr:row>
      <xdr:rowOff>47624</xdr:rowOff>
    </xdr:from>
    <xdr:to>
      <xdr:col>13</xdr:col>
      <xdr:colOff>266700</xdr:colOff>
      <xdr:row>16</xdr:row>
      <xdr:rowOff>95249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257175</xdr:colOff>
      <xdr:row>21</xdr:row>
      <xdr:rowOff>123824</xdr:rowOff>
    </xdr:from>
    <xdr:to>
      <xdr:col>13</xdr:col>
      <xdr:colOff>504825</xdr:colOff>
      <xdr:row>35</xdr:row>
      <xdr:rowOff>76199</xdr:rowOff>
    </xdr:to>
    <xdr:graphicFrame macro="">
      <xdr:nvGraphicFramePr>
        <xdr:cNvPr id="5" name="Grafiek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161925</xdr:colOff>
      <xdr:row>23</xdr:row>
      <xdr:rowOff>123825</xdr:rowOff>
    </xdr:from>
    <xdr:to>
      <xdr:col>21</xdr:col>
      <xdr:colOff>409575</xdr:colOff>
      <xdr:row>37</xdr:row>
      <xdr:rowOff>76200</xdr:rowOff>
    </xdr:to>
    <xdr:graphicFrame macro="">
      <xdr:nvGraphicFramePr>
        <xdr:cNvPr id="6" name="Grafiek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B2:AD69"/>
  <sheetViews>
    <sheetView tabSelected="1" topLeftCell="D1" workbookViewId="0">
      <selection activeCell="E17" sqref="E17"/>
    </sheetView>
  </sheetViews>
  <sheetFormatPr defaultRowHeight="15" x14ac:dyDescent="0.25"/>
  <cols>
    <col min="2" max="2" width="9.140625" style="1"/>
    <col min="3" max="3" width="14.5703125" bestFit="1" customWidth="1"/>
  </cols>
  <sheetData>
    <row r="2" spans="2:30" x14ac:dyDescent="0.25">
      <c r="B2" s="1" t="s">
        <v>23</v>
      </c>
      <c r="C2" s="1" t="s">
        <v>0</v>
      </c>
      <c r="E2">
        <v>0</v>
      </c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  <c r="P2">
        <v>11</v>
      </c>
      <c r="Q2">
        <v>12</v>
      </c>
      <c r="R2">
        <v>13</v>
      </c>
      <c r="S2">
        <v>14</v>
      </c>
      <c r="T2">
        <v>15</v>
      </c>
      <c r="U2">
        <v>16</v>
      </c>
      <c r="V2">
        <v>17</v>
      </c>
      <c r="W2">
        <v>18</v>
      </c>
      <c r="X2">
        <v>19</v>
      </c>
      <c r="Y2">
        <v>20</v>
      </c>
      <c r="Z2">
        <v>21</v>
      </c>
      <c r="AA2">
        <v>22</v>
      </c>
      <c r="AB2">
        <v>23</v>
      </c>
      <c r="AC2">
        <v>24</v>
      </c>
      <c r="AD2">
        <v>25</v>
      </c>
    </row>
    <row r="3" spans="2:30" x14ac:dyDescent="0.25">
      <c r="D3">
        <v>-2</v>
      </c>
      <c r="E3">
        <v>-1</v>
      </c>
      <c r="F3">
        <v>0</v>
      </c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  <c r="V3">
        <v>16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</row>
    <row r="4" spans="2:30" x14ac:dyDescent="0.25">
      <c r="C4" t="s">
        <v>1</v>
      </c>
      <c r="D4">
        <v>22400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</row>
    <row r="5" spans="2:30" x14ac:dyDescent="0.25">
      <c r="C5" t="s">
        <v>2</v>
      </c>
      <c r="D5">
        <v>0</v>
      </c>
      <c r="E5">
        <v>22400</v>
      </c>
      <c r="F5">
        <v>416</v>
      </c>
      <c r="G5">
        <v>416</v>
      </c>
      <c r="H5">
        <v>416</v>
      </c>
      <c r="I5">
        <v>416</v>
      </c>
      <c r="J5">
        <v>416</v>
      </c>
      <c r="K5">
        <v>416</v>
      </c>
      <c r="L5">
        <v>416</v>
      </c>
      <c r="M5">
        <v>416</v>
      </c>
      <c r="N5">
        <v>416</v>
      </c>
      <c r="O5">
        <v>416</v>
      </c>
      <c r="P5">
        <v>416</v>
      </c>
      <c r="Q5">
        <v>416</v>
      </c>
      <c r="R5">
        <v>416</v>
      </c>
      <c r="S5">
        <v>416</v>
      </c>
      <c r="T5">
        <v>416</v>
      </c>
      <c r="U5">
        <v>416</v>
      </c>
      <c r="V5">
        <v>416</v>
      </c>
      <c r="W5">
        <v>416</v>
      </c>
      <c r="X5">
        <v>416</v>
      </c>
      <c r="Y5">
        <v>416</v>
      </c>
      <c r="Z5">
        <v>416</v>
      </c>
      <c r="AA5">
        <v>416</v>
      </c>
      <c r="AB5">
        <v>416</v>
      </c>
      <c r="AC5">
        <v>416</v>
      </c>
      <c r="AD5">
        <v>416</v>
      </c>
    </row>
    <row r="6" spans="2:30" x14ac:dyDescent="0.25">
      <c r="C6" t="s">
        <v>5</v>
      </c>
      <c r="D6">
        <v>0</v>
      </c>
      <c r="E6">
        <v>0</v>
      </c>
      <c r="F6">
        <v>15695</v>
      </c>
      <c r="G6">
        <v>15687</v>
      </c>
      <c r="H6">
        <v>15714</v>
      </c>
      <c r="I6">
        <v>15736</v>
      </c>
      <c r="J6">
        <v>15723</v>
      </c>
      <c r="K6">
        <v>15699</v>
      </c>
      <c r="L6">
        <v>15719</v>
      </c>
      <c r="M6">
        <v>15727</v>
      </c>
      <c r="N6">
        <v>15699</v>
      </c>
      <c r="O6">
        <v>15697</v>
      </c>
      <c r="P6">
        <v>15651</v>
      </c>
      <c r="Q6">
        <v>15642</v>
      </c>
      <c r="R6">
        <v>15623</v>
      </c>
      <c r="S6">
        <v>15637</v>
      </c>
      <c r="T6">
        <v>15649</v>
      </c>
      <c r="U6">
        <v>15648</v>
      </c>
      <c r="V6">
        <v>15667</v>
      </c>
      <c r="W6">
        <v>15696</v>
      </c>
      <c r="X6">
        <v>15692</v>
      </c>
      <c r="Y6">
        <v>15668</v>
      </c>
      <c r="Z6">
        <v>15686</v>
      </c>
      <c r="AA6">
        <v>15703</v>
      </c>
      <c r="AB6">
        <v>15682</v>
      </c>
      <c r="AC6">
        <v>15696</v>
      </c>
      <c r="AD6">
        <v>15704</v>
      </c>
    </row>
    <row r="7" spans="2:30" x14ac:dyDescent="0.25">
      <c r="C7" t="s">
        <v>3</v>
      </c>
      <c r="D7">
        <v>0</v>
      </c>
      <c r="E7">
        <v>0</v>
      </c>
      <c r="F7">
        <v>5208</v>
      </c>
      <c r="G7">
        <v>5289</v>
      </c>
      <c r="H7">
        <v>5340</v>
      </c>
      <c r="I7">
        <v>5375</v>
      </c>
      <c r="J7">
        <v>5476</v>
      </c>
      <c r="K7">
        <v>5551</v>
      </c>
      <c r="L7">
        <v>5620</v>
      </c>
      <c r="M7">
        <v>5685</v>
      </c>
      <c r="N7">
        <v>5712</v>
      </c>
      <c r="O7">
        <v>5782</v>
      </c>
      <c r="P7">
        <v>5851</v>
      </c>
      <c r="Q7">
        <v>5892</v>
      </c>
      <c r="R7">
        <v>5931</v>
      </c>
      <c r="S7">
        <v>5952</v>
      </c>
      <c r="T7">
        <v>6007</v>
      </c>
      <c r="U7">
        <v>6033</v>
      </c>
      <c r="V7">
        <v>6037</v>
      </c>
      <c r="W7">
        <v>6055</v>
      </c>
      <c r="X7">
        <v>6116</v>
      </c>
      <c r="Y7">
        <v>6134</v>
      </c>
      <c r="Z7">
        <v>6130</v>
      </c>
      <c r="AA7">
        <v>6146</v>
      </c>
      <c r="AB7">
        <v>6165</v>
      </c>
      <c r="AC7">
        <v>6158</v>
      </c>
      <c r="AD7">
        <v>6180</v>
      </c>
    </row>
    <row r="8" spans="2:30" x14ac:dyDescent="0.25">
      <c r="C8" t="s">
        <v>4</v>
      </c>
      <c r="D8">
        <v>0</v>
      </c>
      <c r="E8">
        <v>0</v>
      </c>
      <c r="F8">
        <v>1367</v>
      </c>
      <c r="G8">
        <v>1364</v>
      </c>
      <c r="H8">
        <v>1368</v>
      </c>
      <c r="I8">
        <v>1364</v>
      </c>
      <c r="J8">
        <v>1338</v>
      </c>
      <c r="K8">
        <v>1345</v>
      </c>
      <c r="L8">
        <v>1332</v>
      </c>
      <c r="M8">
        <v>1325</v>
      </c>
      <c r="N8">
        <v>1351</v>
      </c>
      <c r="O8">
        <v>1341</v>
      </c>
      <c r="P8">
        <v>1337</v>
      </c>
      <c r="Q8">
        <v>1345</v>
      </c>
      <c r="R8">
        <v>1357</v>
      </c>
      <c r="S8">
        <v>1357</v>
      </c>
      <c r="T8">
        <v>1342</v>
      </c>
      <c r="U8">
        <v>1340</v>
      </c>
      <c r="V8">
        <v>1345</v>
      </c>
      <c r="W8">
        <v>1350</v>
      </c>
      <c r="X8">
        <v>1335</v>
      </c>
      <c r="Y8">
        <v>1365</v>
      </c>
      <c r="Z8">
        <v>1367</v>
      </c>
      <c r="AA8">
        <v>1350</v>
      </c>
      <c r="AB8">
        <v>1355</v>
      </c>
      <c r="AC8">
        <v>1359</v>
      </c>
      <c r="AD8">
        <v>1355</v>
      </c>
    </row>
    <row r="9" spans="2:30" x14ac:dyDescent="0.25">
      <c r="C9" t="s">
        <v>6</v>
      </c>
      <c r="D9">
        <v>0</v>
      </c>
      <c r="E9">
        <v>0</v>
      </c>
      <c r="F9">
        <v>127</v>
      </c>
      <c r="G9">
        <v>135</v>
      </c>
      <c r="H9">
        <v>129</v>
      </c>
      <c r="I9">
        <v>133</v>
      </c>
      <c r="J9">
        <v>136</v>
      </c>
      <c r="K9">
        <v>136</v>
      </c>
      <c r="L9">
        <v>138</v>
      </c>
      <c r="M9">
        <v>144</v>
      </c>
      <c r="N9">
        <v>146</v>
      </c>
      <c r="O9">
        <v>145</v>
      </c>
      <c r="P9">
        <v>157</v>
      </c>
      <c r="Q9">
        <v>162</v>
      </c>
      <c r="R9">
        <v>166</v>
      </c>
      <c r="S9">
        <v>167</v>
      </c>
      <c r="T9">
        <v>170</v>
      </c>
      <c r="U9">
        <v>167</v>
      </c>
      <c r="V9">
        <v>169</v>
      </c>
      <c r="W9">
        <v>171</v>
      </c>
      <c r="X9">
        <v>178</v>
      </c>
      <c r="Y9">
        <v>170</v>
      </c>
      <c r="Z9">
        <v>172</v>
      </c>
      <c r="AA9">
        <v>169</v>
      </c>
      <c r="AB9">
        <v>165</v>
      </c>
      <c r="AC9">
        <v>163</v>
      </c>
      <c r="AD9">
        <v>164</v>
      </c>
    </row>
    <row r="10" spans="2:30" x14ac:dyDescent="0.25">
      <c r="C10" t="s">
        <v>7</v>
      </c>
      <c r="D10">
        <v>0</v>
      </c>
      <c r="E10">
        <v>0</v>
      </c>
      <c r="F10">
        <v>3</v>
      </c>
      <c r="G10">
        <v>1</v>
      </c>
      <c r="H10">
        <v>4</v>
      </c>
      <c r="I10">
        <v>5</v>
      </c>
      <c r="J10">
        <v>7</v>
      </c>
      <c r="K10">
        <v>4</v>
      </c>
      <c r="L10">
        <v>7</v>
      </c>
      <c r="M10">
        <v>4</v>
      </c>
      <c r="N10">
        <v>7</v>
      </c>
      <c r="O10">
        <v>6</v>
      </c>
      <c r="P10">
        <v>3</v>
      </c>
      <c r="Q10">
        <v>6</v>
      </c>
      <c r="R10">
        <v>6</v>
      </c>
      <c r="S10">
        <v>7</v>
      </c>
      <c r="T10">
        <v>5</v>
      </c>
      <c r="U10">
        <v>8</v>
      </c>
      <c r="V10">
        <v>7</v>
      </c>
      <c r="W10">
        <v>7</v>
      </c>
      <c r="X10">
        <v>3</v>
      </c>
      <c r="Y10">
        <v>5</v>
      </c>
      <c r="Z10">
        <v>5</v>
      </c>
      <c r="AA10">
        <v>8</v>
      </c>
      <c r="AB10">
        <v>7</v>
      </c>
      <c r="AC10">
        <v>5</v>
      </c>
      <c r="AD10">
        <v>2</v>
      </c>
    </row>
    <row r="11" spans="2:30" x14ac:dyDescent="0.25">
      <c r="C11" t="s">
        <v>8</v>
      </c>
      <c r="D11">
        <v>0</v>
      </c>
      <c r="E11">
        <v>0</v>
      </c>
      <c r="F11">
        <v>0</v>
      </c>
      <c r="G11">
        <v>10</v>
      </c>
      <c r="H11">
        <v>24</v>
      </c>
      <c r="I11">
        <v>40</v>
      </c>
      <c r="J11">
        <v>54</v>
      </c>
      <c r="K11">
        <v>73</v>
      </c>
      <c r="L11">
        <v>82</v>
      </c>
      <c r="M11">
        <v>96</v>
      </c>
      <c r="N11">
        <v>109</v>
      </c>
      <c r="O11">
        <v>120</v>
      </c>
      <c r="P11">
        <v>129</v>
      </c>
      <c r="Q11">
        <v>142</v>
      </c>
      <c r="R11">
        <v>150</v>
      </c>
      <c r="S11">
        <v>164</v>
      </c>
      <c r="T11">
        <v>177</v>
      </c>
      <c r="U11">
        <v>188</v>
      </c>
      <c r="V11">
        <v>208</v>
      </c>
      <c r="W11">
        <v>223</v>
      </c>
      <c r="X11">
        <v>240</v>
      </c>
      <c r="Y11">
        <v>254</v>
      </c>
      <c r="Z11">
        <v>264</v>
      </c>
      <c r="AA11">
        <v>280</v>
      </c>
      <c r="AB11">
        <v>298</v>
      </c>
      <c r="AC11">
        <v>317</v>
      </c>
      <c r="AD11">
        <v>335</v>
      </c>
    </row>
    <row r="12" spans="2:30" x14ac:dyDescent="0.25">
      <c r="C12" t="s">
        <v>9</v>
      </c>
      <c r="D12">
        <v>0</v>
      </c>
      <c r="E12">
        <v>0</v>
      </c>
      <c r="F12">
        <v>0</v>
      </c>
      <c r="G12">
        <v>216</v>
      </c>
      <c r="H12">
        <v>429</v>
      </c>
      <c r="I12">
        <v>660</v>
      </c>
      <c r="J12">
        <v>885</v>
      </c>
      <c r="K12">
        <v>1115</v>
      </c>
      <c r="L12">
        <v>1330</v>
      </c>
      <c r="M12">
        <v>1553</v>
      </c>
      <c r="N12">
        <v>1802</v>
      </c>
      <c r="O12">
        <v>2030</v>
      </c>
      <c r="P12">
        <v>2270</v>
      </c>
      <c r="Q12">
        <v>2492</v>
      </c>
      <c r="R12">
        <v>2734</v>
      </c>
      <c r="S12">
        <v>2976</v>
      </c>
      <c r="T12">
        <v>3195</v>
      </c>
      <c r="U12">
        <v>3421</v>
      </c>
      <c r="V12">
        <v>3653</v>
      </c>
      <c r="W12">
        <v>3844</v>
      </c>
      <c r="X12">
        <v>4066</v>
      </c>
      <c r="Y12">
        <v>4282</v>
      </c>
      <c r="Z12">
        <v>4526</v>
      </c>
      <c r="AA12">
        <v>4757</v>
      </c>
      <c r="AB12">
        <v>4998</v>
      </c>
      <c r="AC12">
        <v>5234</v>
      </c>
      <c r="AD12">
        <v>5451</v>
      </c>
    </row>
    <row r="13" spans="2:30" x14ac:dyDescent="0.25">
      <c r="C13" t="s">
        <v>10</v>
      </c>
      <c r="D13">
        <v>0</v>
      </c>
      <c r="E13">
        <v>0</v>
      </c>
      <c r="F13">
        <v>0</v>
      </c>
      <c r="G13">
        <v>114</v>
      </c>
      <c r="H13">
        <v>224</v>
      </c>
      <c r="I13">
        <v>335</v>
      </c>
      <c r="J13">
        <v>445</v>
      </c>
      <c r="K13">
        <v>557</v>
      </c>
      <c r="L13">
        <v>668</v>
      </c>
      <c r="M13">
        <v>778</v>
      </c>
      <c r="N13">
        <v>902</v>
      </c>
      <c r="O13">
        <v>1023</v>
      </c>
      <c r="P13">
        <v>1162</v>
      </c>
      <c r="Q13">
        <v>1295</v>
      </c>
      <c r="R13">
        <v>1425</v>
      </c>
      <c r="S13">
        <v>1548</v>
      </c>
      <c r="T13">
        <v>1679</v>
      </c>
      <c r="U13">
        <v>1835</v>
      </c>
      <c r="V13">
        <v>1970</v>
      </c>
      <c r="W13">
        <v>2126</v>
      </c>
      <c r="X13">
        <v>2258</v>
      </c>
      <c r="Y13">
        <v>2426</v>
      </c>
      <c r="Z13">
        <v>2570</v>
      </c>
      <c r="AA13">
        <v>2723</v>
      </c>
      <c r="AB13">
        <v>2882</v>
      </c>
      <c r="AC13">
        <v>3036</v>
      </c>
      <c r="AD13">
        <v>3193</v>
      </c>
    </row>
    <row r="15" spans="2:30" x14ac:dyDescent="0.25">
      <c r="B15" s="1" t="s">
        <v>22</v>
      </c>
      <c r="C15" t="s">
        <v>5</v>
      </c>
      <c r="F15">
        <f>F69-SUM(F16:F22)</f>
        <v>15750</v>
      </c>
      <c r="G15">
        <f t="shared" ref="G15:AD15" si="0">G69-SUM(G16:G22)</f>
        <v>15331</v>
      </c>
      <c r="H15">
        <f t="shared" si="0"/>
        <v>14961</v>
      </c>
      <c r="I15">
        <f t="shared" si="0"/>
        <v>14622</v>
      </c>
      <c r="J15">
        <f t="shared" si="0"/>
        <v>14278</v>
      </c>
      <c r="K15">
        <f t="shared" si="0"/>
        <v>13943</v>
      </c>
      <c r="L15">
        <f t="shared" si="0"/>
        <v>13626</v>
      </c>
      <c r="M15">
        <f t="shared" si="0"/>
        <v>13354</v>
      </c>
      <c r="N15">
        <f t="shared" si="0"/>
        <v>13033</v>
      </c>
      <c r="O15">
        <f t="shared" si="0"/>
        <v>12766</v>
      </c>
      <c r="P15">
        <f t="shared" si="0"/>
        <v>12568</v>
      </c>
      <c r="Q15">
        <f t="shared" si="0"/>
        <v>12396</v>
      </c>
      <c r="R15">
        <f t="shared" si="0"/>
        <v>12197</v>
      </c>
      <c r="S15">
        <f t="shared" si="0"/>
        <v>11965</v>
      </c>
      <c r="T15">
        <f t="shared" si="0"/>
        <v>11754</v>
      </c>
      <c r="U15">
        <f t="shared" si="0"/>
        <v>11512</v>
      </c>
      <c r="V15">
        <f t="shared" si="0"/>
        <v>11327</v>
      </c>
      <c r="W15">
        <f t="shared" si="0"/>
        <v>11179</v>
      </c>
      <c r="X15">
        <f t="shared" si="0"/>
        <v>11014</v>
      </c>
      <c r="Y15">
        <f t="shared" si="0"/>
        <v>10881</v>
      </c>
      <c r="Z15">
        <f t="shared" si="0"/>
        <v>10723</v>
      </c>
      <c r="AA15">
        <f t="shared" si="0"/>
        <v>10610</v>
      </c>
      <c r="AB15">
        <f t="shared" si="0"/>
        <v>10491</v>
      </c>
      <c r="AC15">
        <f t="shared" si="0"/>
        <v>10394</v>
      </c>
      <c r="AD15">
        <f t="shared" si="0"/>
        <v>10275</v>
      </c>
    </row>
    <row r="16" spans="2:30" x14ac:dyDescent="0.25">
      <c r="C16" t="s">
        <v>3</v>
      </c>
      <c r="F16">
        <v>5170</v>
      </c>
      <c r="G16">
        <v>5624</v>
      </c>
      <c r="H16">
        <v>6023</v>
      </c>
      <c r="I16">
        <v>6338</v>
      </c>
      <c r="J16">
        <v>6671</v>
      </c>
      <c r="K16">
        <v>6950</v>
      </c>
      <c r="L16">
        <v>7191</v>
      </c>
      <c r="M16">
        <v>7388</v>
      </c>
      <c r="N16">
        <v>7623</v>
      </c>
      <c r="O16">
        <v>7775</v>
      </c>
      <c r="P16">
        <v>7895</v>
      </c>
      <c r="Q16">
        <v>7992</v>
      </c>
      <c r="R16">
        <v>8099</v>
      </c>
      <c r="S16">
        <v>8244</v>
      </c>
      <c r="T16">
        <v>8363</v>
      </c>
      <c r="U16">
        <v>8520</v>
      </c>
      <c r="V16">
        <v>8577</v>
      </c>
      <c r="W16">
        <v>8614</v>
      </c>
      <c r="X16">
        <v>8648</v>
      </c>
      <c r="Y16">
        <v>8665</v>
      </c>
      <c r="Z16">
        <v>8731</v>
      </c>
      <c r="AA16">
        <v>8781</v>
      </c>
      <c r="AB16">
        <v>8783</v>
      </c>
      <c r="AC16">
        <v>8784</v>
      </c>
      <c r="AD16">
        <v>8785</v>
      </c>
    </row>
    <row r="17" spans="2:30" x14ac:dyDescent="0.25">
      <c r="C17" t="s">
        <v>4</v>
      </c>
      <c r="F17">
        <v>1330</v>
      </c>
      <c r="G17">
        <v>1441</v>
      </c>
      <c r="H17">
        <v>1554</v>
      </c>
      <c r="I17">
        <v>1682</v>
      </c>
      <c r="J17">
        <v>1796</v>
      </c>
      <c r="K17">
        <v>1914</v>
      </c>
      <c r="L17">
        <v>2052</v>
      </c>
      <c r="M17">
        <v>2188</v>
      </c>
      <c r="N17">
        <v>2317</v>
      </c>
      <c r="O17">
        <v>2466</v>
      </c>
      <c r="P17">
        <v>2609</v>
      </c>
      <c r="Q17">
        <v>2745</v>
      </c>
      <c r="R17">
        <v>2889</v>
      </c>
      <c r="S17">
        <v>3019</v>
      </c>
      <c r="T17">
        <v>3151</v>
      </c>
      <c r="U17">
        <v>3267</v>
      </c>
      <c r="V17">
        <v>3422</v>
      </c>
      <c r="W17">
        <v>3530</v>
      </c>
      <c r="X17">
        <v>3633</v>
      </c>
      <c r="Y17">
        <v>3756</v>
      </c>
      <c r="Z17">
        <v>3829</v>
      </c>
      <c r="AA17">
        <v>3909</v>
      </c>
      <c r="AB17">
        <v>4019</v>
      </c>
      <c r="AC17">
        <v>4126</v>
      </c>
      <c r="AD17">
        <v>4239</v>
      </c>
    </row>
    <row r="18" spans="2:30" x14ac:dyDescent="0.25">
      <c r="C18" t="s">
        <v>6</v>
      </c>
      <c r="F18">
        <v>150</v>
      </c>
      <c r="G18">
        <v>153</v>
      </c>
      <c r="H18">
        <v>168</v>
      </c>
      <c r="I18">
        <v>181</v>
      </c>
      <c r="J18">
        <v>205</v>
      </c>
      <c r="K18">
        <v>224</v>
      </c>
      <c r="L18">
        <v>240</v>
      </c>
      <c r="M18">
        <v>266</v>
      </c>
      <c r="N18">
        <v>269</v>
      </c>
      <c r="O18">
        <v>291</v>
      </c>
      <c r="P18">
        <v>315</v>
      </c>
      <c r="Q18">
        <v>335</v>
      </c>
      <c r="R18">
        <v>358</v>
      </c>
      <c r="S18">
        <v>373</v>
      </c>
      <c r="T18">
        <v>390</v>
      </c>
      <c r="U18">
        <v>414</v>
      </c>
      <c r="V18">
        <v>436</v>
      </c>
      <c r="W18">
        <v>451</v>
      </c>
      <c r="X18">
        <v>469</v>
      </c>
      <c r="Y18">
        <v>484</v>
      </c>
      <c r="Z18">
        <v>513</v>
      </c>
      <c r="AA18">
        <v>548</v>
      </c>
      <c r="AB18">
        <v>583</v>
      </c>
      <c r="AC18">
        <v>594</v>
      </c>
      <c r="AD18">
        <v>609</v>
      </c>
    </row>
    <row r="19" spans="2:30" x14ac:dyDescent="0.25">
      <c r="C19" t="s">
        <v>7</v>
      </c>
      <c r="F19">
        <v>0</v>
      </c>
      <c r="G19">
        <v>6</v>
      </c>
      <c r="H19">
        <v>2</v>
      </c>
      <c r="I19">
        <v>4</v>
      </c>
      <c r="J19">
        <v>3</v>
      </c>
      <c r="K19">
        <v>6</v>
      </c>
      <c r="L19">
        <v>4</v>
      </c>
      <c r="M19">
        <v>2</v>
      </c>
      <c r="N19">
        <v>9</v>
      </c>
      <c r="O19">
        <v>0</v>
      </c>
      <c r="P19">
        <v>3</v>
      </c>
      <c r="Q19">
        <v>7</v>
      </c>
      <c r="R19">
        <v>1</v>
      </c>
      <c r="S19">
        <v>6</v>
      </c>
      <c r="T19">
        <v>5</v>
      </c>
      <c r="U19">
        <v>4</v>
      </c>
      <c r="V19">
        <v>6</v>
      </c>
      <c r="W19">
        <v>8</v>
      </c>
      <c r="X19">
        <v>13</v>
      </c>
      <c r="Y19">
        <v>9</v>
      </c>
      <c r="Z19">
        <v>6</v>
      </c>
      <c r="AA19">
        <v>7</v>
      </c>
      <c r="AB19">
        <v>4</v>
      </c>
      <c r="AC19">
        <v>12</v>
      </c>
      <c r="AD19">
        <v>12</v>
      </c>
    </row>
    <row r="20" spans="2:30" x14ac:dyDescent="0.25">
      <c r="C20" t="s">
        <v>8</v>
      </c>
      <c r="G20">
        <v>0</v>
      </c>
      <c r="H20">
        <v>3</v>
      </c>
      <c r="I20">
        <v>5</v>
      </c>
      <c r="J20">
        <v>7</v>
      </c>
      <c r="K20">
        <v>9</v>
      </c>
      <c r="L20">
        <v>12</v>
      </c>
      <c r="M20">
        <v>13</v>
      </c>
      <c r="N20">
        <v>14</v>
      </c>
      <c r="O20">
        <v>19</v>
      </c>
      <c r="P20">
        <v>19</v>
      </c>
      <c r="Q20">
        <v>22</v>
      </c>
      <c r="R20">
        <v>25</v>
      </c>
      <c r="S20">
        <v>25</v>
      </c>
      <c r="T20">
        <v>27</v>
      </c>
      <c r="U20">
        <v>28</v>
      </c>
      <c r="V20">
        <v>29</v>
      </c>
      <c r="W20">
        <v>34</v>
      </c>
      <c r="X20">
        <v>37</v>
      </c>
      <c r="Y20">
        <v>42</v>
      </c>
      <c r="Z20">
        <v>46</v>
      </c>
      <c r="AA20">
        <v>48</v>
      </c>
      <c r="AB20">
        <v>53</v>
      </c>
      <c r="AC20">
        <v>53</v>
      </c>
      <c r="AD20">
        <v>58</v>
      </c>
    </row>
    <row r="21" spans="2:30" x14ac:dyDescent="0.25">
      <c r="C21" t="s">
        <v>9</v>
      </c>
      <c r="G21">
        <v>161</v>
      </c>
      <c r="H21">
        <v>314</v>
      </c>
      <c r="I21">
        <v>503</v>
      </c>
      <c r="J21">
        <v>675</v>
      </c>
      <c r="K21">
        <v>890</v>
      </c>
      <c r="L21">
        <v>1097</v>
      </c>
      <c r="M21">
        <v>1300</v>
      </c>
      <c r="N21">
        <v>1518</v>
      </c>
      <c r="O21">
        <v>1749</v>
      </c>
      <c r="P21">
        <v>1947</v>
      </c>
      <c r="Q21">
        <v>2138</v>
      </c>
      <c r="R21">
        <v>2340</v>
      </c>
      <c r="S21">
        <v>2541</v>
      </c>
      <c r="T21">
        <v>2733</v>
      </c>
      <c r="U21">
        <v>2929</v>
      </c>
      <c r="V21">
        <v>3127</v>
      </c>
      <c r="W21">
        <v>3351</v>
      </c>
      <c r="X21">
        <v>3571</v>
      </c>
      <c r="Y21">
        <v>3755</v>
      </c>
      <c r="Z21">
        <v>3975</v>
      </c>
      <c r="AA21">
        <v>4155</v>
      </c>
      <c r="AB21">
        <v>4368</v>
      </c>
      <c r="AC21">
        <v>4571</v>
      </c>
      <c r="AD21">
        <v>4774</v>
      </c>
    </row>
    <row r="22" spans="2:30" x14ac:dyDescent="0.25">
      <c r="C22" t="s">
        <v>10</v>
      </c>
      <c r="G22">
        <f>G66-G21-G20</f>
        <v>100</v>
      </c>
      <c r="H22">
        <f t="shared" ref="H22:AD22" si="1">H66-H21-H20</f>
        <v>207</v>
      </c>
      <c r="I22">
        <f t="shared" si="1"/>
        <v>313</v>
      </c>
      <c r="J22">
        <f t="shared" si="1"/>
        <v>429</v>
      </c>
      <c r="K22">
        <f t="shared" si="1"/>
        <v>544</v>
      </c>
      <c r="L22">
        <f t="shared" si="1"/>
        <v>674</v>
      </c>
      <c r="M22">
        <f t="shared" si="1"/>
        <v>801</v>
      </c>
      <c r="N22">
        <f t="shared" si="1"/>
        <v>945</v>
      </c>
      <c r="O22">
        <f t="shared" si="1"/>
        <v>1078</v>
      </c>
      <c r="P22">
        <f t="shared" si="1"/>
        <v>1204</v>
      </c>
      <c r="Q22">
        <f t="shared" si="1"/>
        <v>1341</v>
      </c>
      <c r="R22">
        <f t="shared" si="1"/>
        <v>1483</v>
      </c>
      <c r="S22">
        <f t="shared" si="1"/>
        <v>1635</v>
      </c>
      <c r="T22">
        <f t="shared" si="1"/>
        <v>1801</v>
      </c>
      <c r="U22">
        <f t="shared" si="1"/>
        <v>1966</v>
      </c>
      <c r="V22">
        <f t="shared" si="1"/>
        <v>2132</v>
      </c>
      <c r="W22">
        <f t="shared" si="1"/>
        <v>2305</v>
      </c>
      <c r="X22">
        <f t="shared" si="1"/>
        <v>2503</v>
      </c>
      <c r="Y22">
        <f t="shared" si="1"/>
        <v>2712</v>
      </c>
      <c r="Z22">
        <f t="shared" si="1"/>
        <v>2897</v>
      </c>
      <c r="AA22">
        <f t="shared" si="1"/>
        <v>3078</v>
      </c>
      <c r="AB22">
        <f t="shared" si="1"/>
        <v>3251</v>
      </c>
      <c r="AC22">
        <f t="shared" si="1"/>
        <v>3434</v>
      </c>
      <c r="AD22">
        <f t="shared" si="1"/>
        <v>3632</v>
      </c>
    </row>
    <row r="24" spans="2:30" x14ac:dyDescent="0.25">
      <c r="B24" s="1" t="s">
        <v>23</v>
      </c>
      <c r="C24" s="1" t="s">
        <v>11</v>
      </c>
      <c r="D24">
        <v>-2</v>
      </c>
      <c r="E24">
        <v>-1</v>
      </c>
      <c r="F24">
        <v>0</v>
      </c>
      <c r="G24">
        <v>1</v>
      </c>
      <c r="H24">
        <v>2</v>
      </c>
      <c r="I24">
        <v>3</v>
      </c>
      <c r="J24">
        <v>4</v>
      </c>
      <c r="K24">
        <v>5</v>
      </c>
      <c r="L24">
        <v>6</v>
      </c>
      <c r="M24">
        <v>7</v>
      </c>
      <c r="N24">
        <v>8</v>
      </c>
      <c r="O24">
        <v>9</v>
      </c>
      <c r="P24">
        <v>10</v>
      </c>
      <c r="Q24">
        <v>11</v>
      </c>
      <c r="R24">
        <v>12</v>
      </c>
      <c r="S24">
        <v>13</v>
      </c>
      <c r="T24">
        <v>14</v>
      </c>
      <c r="U24">
        <v>15</v>
      </c>
      <c r="V24">
        <v>16</v>
      </c>
      <c r="W24">
        <v>17</v>
      </c>
      <c r="X24">
        <v>18</v>
      </c>
      <c r="Y24">
        <v>19</v>
      </c>
      <c r="Z24">
        <v>20</v>
      </c>
      <c r="AA24">
        <v>21</v>
      </c>
      <c r="AB24">
        <v>22</v>
      </c>
      <c r="AC24">
        <v>23</v>
      </c>
      <c r="AD24">
        <v>24</v>
      </c>
    </row>
    <row r="25" spans="2:30" x14ac:dyDescent="0.25">
      <c r="C25" t="s">
        <v>1</v>
      </c>
      <c r="D25">
        <v>22400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</row>
    <row r="26" spans="2:30" x14ac:dyDescent="0.25">
      <c r="C26" t="s">
        <v>2</v>
      </c>
      <c r="D26">
        <v>0</v>
      </c>
      <c r="E26">
        <v>22400</v>
      </c>
      <c r="F26">
        <v>416</v>
      </c>
      <c r="G26">
        <v>416</v>
      </c>
      <c r="H26">
        <v>416</v>
      </c>
      <c r="I26">
        <v>416</v>
      </c>
      <c r="J26">
        <v>416</v>
      </c>
      <c r="K26">
        <v>416</v>
      </c>
      <c r="L26">
        <v>416</v>
      </c>
      <c r="M26">
        <v>416</v>
      </c>
      <c r="N26">
        <v>416</v>
      </c>
      <c r="O26">
        <v>416</v>
      </c>
      <c r="P26">
        <v>416</v>
      </c>
      <c r="Q26">
        <v>416</v>
      </c>
      <c r="R26">
        <v>416</v>
      </c>
      <c r="S26">
        <v>416</v>
      </c>
      <c r="T26">
        <v>416</v>
      </c>
      <c r="U26">
        <v>416</v>
      </c>
      <c r="V26">
        <v>416</v>
      </c>
      <c r="W26">
        <v>416</v>
      </c>
      <c r="X26">
        <v>416</v>
      </c>
      <c r="Y26">
        <v>416</v>
      </c>
      <c r="Z26">
        <v>416</v>
      </c>
      <c r="AA26">
        <v>416</v>
      </c>
      <c r="AB26">
        <v>416</v>
      </c>
      <c r="AC26">
        <v>416</v>
      </c>
      <c r="AD26">
        <v>416</v>
      </c>
    </row>
    <row r="27" spans="2:30" x14ac:dyDescent="0.25">
      <c r="C27" t="s">
        <v>13</v>
      </c>
      <c r="D27">
        <v>0</v>
      </c>
      <c r="E27">
        <v>0</v>
      </c>
      <c r="F27">
        <v>20949</v>
      </c>
      <c r="G27">
        <v>20997</v>
      </c>
      <c r="H27">
        <v>21051</v>
      </c>
      <c r="I27">
        <v>21070</v>
      </c>
      <c r="J27">
        <v>21100</v>
      </c>
      <c r="K27">
        <v>21116</v>
      </c>
      <c r="L27">
        <v>21168</v>
      </c>
      <c r="M27">
        <v>21191</v>
      </c>
      <c r="N27">
        <v>21178</v>
      </c>
      <c r="O27">
        <v>21189</v>
      </c>
      <c r="P27">
        <v>21192</v>
      </c>
      <c r="Q27">
        <v>21201</v>
      </c>
      <c r="R27">
        <v>21177</v>
      </c>
      <c r="S27">
        <v>21164</v>
      </c>
      <c r="T27">
        <v>21161</v>
      </c>
      <c r="U27">
        <v>21146</v>
      </c>
      <c r="V27">
        <v>21131</v>
      </c>
      <c r="W27">
        <v>21164</v>
      </c>
      <c r="X27">
        <v>21169</v>
      </c>
      <c r="Y27">
        <v>21164</v>
      </c>
      <c r="Z27">
        <v>21178</v>
      </c>
      <c r="AA27">
        <v>21161</v>
      </c>
      <c r="AB27">
        <v>21130</v>
      </c>
      <c r="AC27">
        <v>21090</v>
      </c>
      <c r="AD27">
        <v>21097</v>
      </c>
    </row>
    <row r="28" spans="2:30" x14ac:dyDescent="0.25">
      <c r="C28" t="s">
        <v>11</v>
      </c>
      <c r="D28">
        <v>0</v>
      </c>
      <c r="E28">
        <v>0</v>
      </c>
      <c r="F28">
        <v>1451</v>
      </c>
      <c r="G28">
        <v>1479</v>
      </c>
      <c r="H28">
        <v>1504</v>
      </c>
      <c r="I28">
        <v>1543</v>
      </c>
      <c r="J28">
        <v>1580</v>
      </c>
      <c r="K28">
        <v>1619</v>
      </c>
      <c r="L28">
        <v>1648</v>
      </c>
      <c r="M28">
        <v>1694</v>
      </c>
      <c r="N28">
        <v>1737</v>
      </c>
      <c r="O28">
        <v>1782</v>
      </c>
      <c r="P28">
        <v>1807</v>
      </c>
      <c r="Q28">
        <v>1846</v>
      </c>
      <c r="R28">
        <v>1906</v>
      </c>
      <c r="S28">
        <v>1956</v>
      </c>
      <c r="T28">
        <v>2012</v>
      </c>
      <c r="U28">
        <v>2050</v>
      </c>
      <c r="V28">
        <v>2094</v>
      </c>
      <c r="W28">
        <v>2115</v>
      </c>
      <c r="X28">
        <v>2155</v>
      </c>
      <c r="Y28">
        <v>2178</v>
      </c>
      <c r="Z28">
        <v>2182</v>
      </c>
      <c r="AA28">
        <v>2215</v>
      </c>
      <c r="AB28">
        <v>2244</v>
      </c>
      <c r="AC28">
        <v>2291</v>
      </c>
      <c r="AD28">
        <v>2308</v>
      </c>
    </row>
    <row r="29" spans="2:30" x14ac:dyDescent="0.25">
      <c r="C29" t="s">
        <v>14</v>
      </c>
      <c r="D29">
        <v>0</v>
      </c>
      <c r="E29">
        <v>0</v>
      </c>
      <c r="F29">
        <v>0</v>
      </c>
      <c r="G29">
        <v>56</v>
      </c>
      <c r="H29">
        <v>101</v>
      </c>
      <c r="I29">
        <v>138</v>
      </c>
      <c r="J29">
        <v>175</v>
      </c>
      <c r="K29">
        <v>211</v>
      </c>
      <c r="L29">
        <v>244</v>
      </c>
      <c r="M29">
        <v>267</v>
      </c>
      <c r="N29">
        <v>303</v>
      </c>
      <c r="O29">
        <v>328</v>
      </c>
      <c r="P29">
        <v>365</v>
      </c>
      <c r="Q29">
        <v>407</v>
      </c>
      <c r="R29">
        <v>437</v>
      </c>
      <c r="S29">
        <v>462</v>
      </c>
      <c r="T29">
        <v>493</v>
      </c>
      <c r="U29">
        <v>530</v>
      </c>
      <c r="V29">
        <v>562</v>
      </c>
      <c r="W29">
        <v>604</v>
      </c>
      <c r="X29">
        <v>630</v>
      </c>
      <c r="Y29">
        <v>672</v>
      </c>
      <c r="Z29">
        <v>704</v>
      </c>
      <c r="AA29">
        <v>735</v>
      </c>
      <c r="AB29">
        <v>777</v>
      </c>
      <c r="AC29">
        <v>817</v>
      </c>
      <c r="AD29">
        <v>847</v>
      </c>
    </row>
    <row r="30" spans="2:30" x14ac:dyDescent="0.25">
      <c r="C30" t="s">
        <v>10</v>
      </c>
      <c r="D30">
        <v>0</v>
      </c>
      <c r="E30">
        <v>0</v>
      </c>
      <c r="F30">
        <v>0</v>
      </c>
      <c r="G30">
        <v>284</v>
      </c>
      <c r="H30">
        <v>576</v>
      </c>
      <c r="I30">
        <v>897</v>
      </c>
      <c r="J30">
        <v>1209</v>
      </c>
      <c r="K30">
        <v>1534</v>
      </c>
      <c r="L30">
        <v>1836</v>
      </c>
      <c r="M30">
        <v>2160</v>
      </c>
      <c r="N30">
        <v>2510</v>
      </c>
      <c r="O30">
        <v>2845</v>
      </c>
      <c r="P30">
        <v>3196</v>
      </c>
      <c r="Q30">
        <v>3522</v>
      </c>
      <c r="R30">
        <v>3872</v>
      </c>
      <c r="S30">
        <v>4226</v>
      </c>
      <c r="T30">
        <v>4558</v>
      </c>
      <c r="U30">
        <v>4914</v>
      </c>
      <c r="V30">
        <v>5269</v>
      </c>
      <c r="W30">
        <v>5589</v>
      </c>
      <c r="X30">
        <v>5934</v>
      </c>
      <c r="Y30">
        <v>6290</v>
      </c>
      <c r="Z30">
        <v>6656</v>
      </c>
      <c r="AA30">
        <v>7025</v>
      </c>
      <c r="AB30">
        <v>7401</v>
      </c>
      <c r="AC30">
        <v>7770</v>
      </c>
      <c r="AD30">
        <v>8132</v>
      </c>
    </row>
    <row r="32" spans="2:30" x14ac:dyDescent="0.25">
      <c r="B32" s="1" t="s">
        <v>22</v>
      </c>
      <c r="C32" t="s">
        <v>13</v>
      </c>
      <c r="F32">
        <f>F69-F33-F34-F35</f>
        <v>20997</v>
      </c>
      <c r="G32">
        <f t="shared" ref="G32:AD32" si="2">G69-G33-G34-G35</f>
        <v>21127</v>
      </c>
      <c r="H32">
        <f t="shared" si="2"/>
        <v>21234</v>
      </c>
      <c r="I32">
        <f t="shared" si="2"/>
        <v>21318</v>
      </c>
      <c r="J32">
        <f t="shared" si="2"/>
        <v>21456</v>
      </c>
      <c r="K32">
        <f t="shared" si="2"/>
        <v>21522</v>
      </c>
      <c r="L32">
        <f t="shared" si="2"/>
        <v>21564</v>
      </c>
      <c r="M32">
        <f t="shared" si="2"/>
        <v>21613</v>
      </c>
      <c r="N32">
        <f t="shared" si="2"/>
        <v>21667</v>
      </c>
      <c r="O32">
        <f t="shared" si="2"/>
        <v>21690</v>
      </c>
      <c r="P32">
        <f t="shared" si="2"/>
        <v>21759</v>
      </c>
      <c r="Q32">
        <f t="shared" si="2"/>
        <v>21846</v>
      </c>
      <c r="R32">
        <f t="shared" si="2"/>
        <v>21895</v>
      </c>
      <c r="S32">
        <f t="shared" si="2"/>
        <v>21928</v>
      </c>
      <c r="T32">
        <f t="shared" si="2"/>
        <v>21969</v>
      </c>
      <c r="U32">
        <f t="shared" si="2"/>
        <v>22022</v>
      </c>
      <c r="V32">
        <f t="shared" si="2"/>
        <v>22052</v>
      </c>
      <c r="W32">
        <f t="shared" si="2"/>
        <v>22042</v>
      </c>
      <c r="X32">
        <f t="shared" si="2"/>
        <v>22046</v>
      </c>
      <c r="Y32">
        <f t="shared" si="2"/>
        <v>22060</v>
      </c>
      <c r="Z32">
        <f t="shared" si="2"/>
        <v>22029</v>
      </c>
      <c r="AA32">
        <f t="shared" si="2"/>
        <v>22022</v>
      </c>
      <c r="AB32">
        <f t="shared" si="2"/>
        <v>22059</v>
      </c>
      <c r="AC32">
        <f t="shared" si="2"/>
        <v>22103</v>
      </c>
      <c r="AD32">
        <f t="shared" si="2"/>
        <v>22096</v>
      </c>
    </row>
    <row r="33" spans="2:30" x14ac:dyDescent="0.25">
      <c r="C33" t="s">
        <v>11</v>
      </c>
      <c r="F33">
        <v>1403</v>
      </c>
      <c r="G33">
        <v>1428</v>
      </c>
      <c r="H33">
        <v>1474</v>
      </c>
      <c r="I33">
        <v>1509</v>
      </c>
      <c r="J33">
        <v>1497</v>
      </c>
      <c r="K33">
        <v>1515</v>
      </c>
      <c r="L33">
        <v>1549</v>
      </c>
      <c r="M33">
        <v>1585</v>
      </c>
      <c r="N33">
        <v>1584</v>
      </c>
      <c r="O33">
        <v>1608</v>
      </c>
      <c r="P33">
        <v>1631</v>
      </c>
      <c r="Q33">
        <v>1629</v>
      </c>
      <c r="R33">
        <v>1649</v>
      </c>
      <c r="S33">
        <v>1679</v>
      </c>
      <c r="T33">
        <v>1694</v>
      </c>
      <c r="U33">
        <v>1695</v>
      </c>
      <c r="V33">
        <v>1716</v>
      </c>
      <c r="W33">
        <v>1740</v>
      </c>
      <c r="X33">
        <v>1731</v>
      </c>
      <c r="Y33">
        <v>1735</v>
      </c>
      <c r="Z33">
        <v>1773</v>
      </c>
      <c r="AA33">
        <v>1833</v>
      </c>
      <c r="AB33">
        <v>1821</v>
      </c>
      <c r="AC33">
        <v>1807</v>
      </c>
      <c r="AD33">
        <v>1824</v>
      </c>
    </row>
    <row r="34" spans="2:30" x14ac:dyDescent="0.25">
      <c r="C34" t="s">
        <v>14</v>
      </c>
      <c r="G34">
        <v>28</v>
      </c>
      <c r="H34">
        <v>66</v>
      </c>
      <c r="I34">
        <v>98</v>
      </c>
      <c r="J34">
        <v>136</v>
      </c>
      <c r="K34">
        <v>174</v>
      </c>
      <c r="L34">
        <v>216</v>
      </c>
      <c r="M34">
        <v>253</v>
      </c>
      <c r="N34">
        <v>314</v>
      </c>
      <c r="O34">
        <v>358</v>
      </c>
      <c r="P34">
        <v>403</v>
      </c>
      <c r="Q34">
        <v>449</v>
      </c>
      <c r="R34">
        <v>497</v>
      </c>
      <c r="S34">
        <v>530</v>
      </c>
      <c r="T34">
        <v>591</v>
      </c>
      <c r="U34">
        <v>637</v>
      </c>
      <c r="V34">
        <v>671</v>
      </c>
      <c r="W34">
        <v>711</v>
      </c>
      <c r="X34">
        <v>765</v>
      </c>
      <c r="Y34">
        <v>823</v>
      </c>
      <c r="Z34">
        <v>865</v>
      </c>
      <c r="AA34">
        <v>904</v>
      </c>
      <c r="AB34">
        <v>948</v>
      </c>
      <c r="AC34">
        <v>1001</v>
      </c>
      <c r="AD34">
        <v>1049</v>
      </c>
    </row>
    <row r="35" spans="2:30" x14ac:dyDescent="0.25">
      <c r="C35" t="s">
        <v>10</v>
      </c>
      <c r="G35">
        <f>G66-G34</f>
        <v>233</v>
      </c>
      <c r="H35">
        <f t="shared" ref="H35:AD35" si="3">H66-H34</f>
        <v>458</v>
      </c>
      <c r="I35">
        <f t="shared" si="3"/>
        <v>723</v>
      </c>
      <c r="J35">
        <f t="shared" si="3"/>
        <v>975</v>
      </c>
      <c r="K35">
        <f t="shared" si="3"/>
        <v>1269</v>
      </c>
      <c r="L35">
        <f t="shared" si="3"/>
        <v>1567</v>
      </c>
      <c r="M35">
        <f t="shared" si="3"/>
        <v>1861</v>
      </c>
      <c r="N35">
        <f t="shared" si="3"/>
        <v>2163</v>
      </c>
      <c r="O35">
        <f t="shared" si="3"/>
        <v>2488</v>
      </c>
      <c r="P35">
        <f t="shared" si="3"/>
        <v>2767</v>
      </c>
      <c r="Q35">
        <f t="shared" si="3"/>
        <v>3052</v>
      </c>
      <c r="R35">
        <f t="shared" si="3"/>
        <v>3351</v>
      </c>
      <c r="S35">
        <f t="shared" si="3"/>
        <v>3671</v>
      </c>
      <c r="T35">
        <f t="shared" si="3"/>
        <v>3970</v>
      </c>
      <c r="U35">
        <f t="shared" si="3"/>
        <v>4286</v>
      </c>
      <c r="V35">
        <f t="shared" si="3"/>
        <v>4617</v>
      </c>
      <c r="W35">
        <f t="shared" si="3"/>
        <v>4979</v>
      </c>
      <c r="X35">
        <f t="shared" si="3"/>
        <v>5346</v>
      </c>
      <c r="Y35">
        <f t="shared" si="3"/>
        <v>5686</v>
      </c>
      <c r="Z35">
        <f t="shared" si="3"/>
        <v>6053</v>
      </c>
      <c r="AA35">
        <f t="shared" si="3"/>
        <v>6377</v>
      </c>
      <c r="AB35">
        <f t="shared" si="3"/>
        <v>6724</v>
      </c>
      <c r="AC35">
        <f t="shared" si="3"/>
        <v>7057</v>
      </c>
      <c r="AD35">
        <f t="shared" si="3"/>
        <v>7415</v>
      </c>
    </row>
    <row r="38" spans="2:30" x14ac:dyDescent="0.25">
      <c r="B38" s="1" t="s">
        <v>23</v>
      </c>
      <c r="C38" s="1" t="s">
        <v>12</v>
      </c>
      <c r="D38">
        <v>-2</v>
      </c>
      <c r="E38">
        <v>-1</v>
      </c>
      <c r="F38">
        <v>0</v>
      </c>
      <c r="G38">
        <v>1</v>
      </c>
      <c r="H38">
        <v>2</v>
      </c>
      <c r="I38">
        <v>3</v>
      </c>
      <c r="J38">
        <v>4</v>
      </c>
      <c r="K38">
        <v>5</v>
      </c>
      <c r="L38">
        <v>6</v>
      </c>
      <c r="M38">
        <v>7</v>
      </c>
      <c r="N38">
        <v>8</v>
      </c>
      <c r="O38">
        <v>9</v>
      </c>
      <c r="P38">
        <v>10</v>
      </c>
      <c r="Q38">
        <v>11</v>
      </c>
      <c r="R38">
        <v>12</v>
      </c>
      <c r="S38">
        <v>13</v>
      </c>
      <c r="T38">
        <v>14</v>
      </c>
      <c r="U38">
        <v>15</v>
      </c>
      <c r="V38">
        <v>16</v>
      </c>
      <c r="W38">
        <v>17</v>
      </c>
      <c r="X38">
        <v>18</v>
      </c>
      <c r="Y38">
        <v>19</v>
      </c>
      <c r="Z38">
        <v>20</v>
      </c>
      <c r="AA38">
        <v>21</v>
      </c>
      <c r="AB38">
        <v>22</v>
      </c>
      <c r="AC38">
        <v>23</v>
      </c>
      <c r="AD38">
        <v>24</v>
      </c>
    </row>
    <row r="39" spans="2:30" x14ac:dyDescent="0.25">
      <c r="C39" t="s">
        <v>1</v>
      </c>
      <c r="D39">
        <v>22400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</row>
    <row r="40" spans="2:30" x14ac:dyDescent="0.25">
      <c r="C40" t="s">
        <v>2</v>
      </c>
      <c r="D40">
        <v>0</v>
      </c>
      <c r="E40">
        <v>22400</v>
      </c>
      <c r="F40">
        <v>416</v>
      </c>
      <c r="G40">
        <v>416</v>
      </c>
      <c r="H40">
        <v>416</v>
      </c>
      <c r="I40">
        <v>416</v>
      </c>
      <c r="J40">
        <v>416</v>
      </c>
      <c r="K40">
        <v>416</v>
      </c>
      <c r="L40">
        <v>416</v>
      </c>
      <c r="M40">
        <v>416</v>
      </c>
      <c r="N40">
        <v>416</v>
      </c>
      <c r="O40">
        <v>416</v>
      </c>
      <c r="P40">
        <v>416</v>
      </c>
      <c r="Q40">
        <v>416</v>
      </c>
      <c r="R40">
        <v>416</v>
      </c>
      <c r="S40">
        <v>416</v>
      </c>
      <c r="T40">
        <v>416</v>
      </c>
      <c r="U40">
        <v>416</v>
      </c>
      <c r="V40">
        <v>416</v>
      </c>
      <c r="W40">
        <v>416</v>
      </c>
      <c r="X40">
        <v>416</v>
      </c>
      <c r="Y40">
        <v>416</v>
      </c>
      <c r="Z40">
        <v>416</v>
      </c>
      <c r="AA40">
        <v>416</v>
      </c>
      <c r="AB40">
        <v>416</v>
      </c>
      <c r="AC40">
        <v>416</v>
      </c>
      <c r="AD40">
        <v>416</v>
      </c>
    </row>
    <row r="41" spans="2:30" x14ac:dyDescent="0.25">
      <c r="C41" t="s">
        <v>15</v>
      </c>
      <c r="D41">
        <v>0</v>
      </c>
      <c r="E41">
        <v>0</v>
      </c>
      <c r="F41">
        <v>20265</v>
      </c>
      <c r="G41">
        <v>20249</v>
      </c>
      <c r="H41">
        <v>20228</v>
      </c>
      <c r="I41">
        <v>20189</v>
      </c>
      <c r="J41">
        <v>20140</v>
      </c>
      <c r="K41">
        <v>20080</v>
      </c>
      <c r="L41">
        <v>20080</v>
      </c>
      <c r="M41">
        <v>20074</v>
      </c>
      <c r="N41">
        <v>20012</v>
      </c>
      <c r="O41">
        <v>19988</v>
      </c>
      <c r="P41">
        <v>19945</v>
      </c>
      <c r="Q41">
        <v>19864</v>
      </c>
      <c r="R41">
        <v>19839</v>
      </c>
      <c r="S41">
        <v>19814</v>
      </c>
      <c r="T41">
        <v>19815</v>
      </c>
      <c r="U41">
        <v>19808</v>
      </c>
      <c r="V41">
        <v>19783</v>
      </c>
      <c r="W41">
        <v>19776</v>
      </c>
      <c r="X41">
        <v>19772</v>
      </c>
      <c r="Y41">
        <v>19764</v>
      </c>
      <c r="Z41">
        <v>19742</v>
      </c>
      <c r="AA41">
        <v>19731</v>
      </c>
      <c r="AB41">
        <v>19685</v>
      </c>
      <c r="AC41">
        <v>19660</v>
      </c>
      <c r="AD41">
        <v>19622</v>
      </c>
    </row>
    <row r="42" spans="2:30" x14ac:dyDescent="0.25">
      <c r="C42" t="s">
        <v>12</v>
      </c>
      <c r="D42">
        <v>0</v>
      </c>
      <c r="E42">
        <v>0</v>
      </c>
      <c r="F42">
        <v>2135</v>
      </c>
      <c r="G42">
        <v>2227</v>
      </c>
      <c r="H42">
        <v>2327</v>
      </c>
      <c r="I42">
        <v>2424</v>
      </c>
      <c r="J42">
        <v>2540</v>
      </c>
      <c r="K42">
        <v>2655</v>
      </c>
      <c r="L42">
        <v>2736</v>
      </c>
      <c r="M42">
        <v>2811</v>
      </c>
      <c r="N42">
        <v>2903</v>
      </c>
      <c r="O42">
        <v>2983</v>
      </c>
      <c r="P42">
        <v>3054</v>
      </c>
      <c r="Q42">
        <v>3183</v>
      </c>
      <c r="R42">
        <v>3244</v>
      </c>
      <c r="S42">
        <v>3306</v>
      </c>
      <c r="T42">
        <v>3358</v>
      </c>
      <c r="U42">
        <v>3388</v>
      </c>
      <c r="V42">
        <v>3442</v>
      </c>
      <c r="W42">
        <v>3503</v>
      </c>
      <c r="X42">
        <v>3552</v>
      </c>
      <c r="Y42">
        <v>3578</v>
      </c>
      <c r="Z42">
        <v>3618</v>
      </c>
      <c r="AA42">
        <v>3645</v>
      </c>
      <c r="AB42">
        <v>3689</v>
      </c>
      <c r="AC42">
        <v>3721</v>
      </c>
      <c r="AD42">
        <v>3783</v>
      </c>
    </row>
    <row r="43" spans="2:30" x14ac:dyDescent="0.25">
      <c r="C43" t="s">
        <v>16</v>
      </c>
      <c r="D43">
        <v>0</v>
      </c>
      <c r="E43">
        <v>0</v>
      </c>
      <c r="F43">
        <v>0</v>
      </c>
      <c r="G43">
        <v>58</v>
      </c>
      <c r="H43">
        <v>123</v>
      </c>
      <c r="I43">
        <v>197</v>
      </c>
      <c r="J43">
        <v>270</v>
      </c>
      <c r="K43">
        <v>346</v>
      </c>
      <c r="L43">
        <v>424</v>
      </c>
      <c r="M43">
        <v>511</v>
      </c>
      <c r="N43">
        <v>599</v>
      </c>
      <c r="O43">
        <v>695</v>
      </c>
      <c r="P43">
        <v>797</v>
      </c>
      <c r="Q43">
        <v>888</v>
      </c>
      <c r="R43">
        <v>988</v>
      </c>
      <c r="S43">
        <v>1086</v>
      </c>
      <c r="T43">
        <v>1186</v>
      </c>
      <c r="U43">
        <v>1305</v>
      </c>
      <c r="V43">
        <v>1408</v>
      </c>
      <c r="W43">
        <v>1522</v>
      </c>
      <c r="X43">
        <v>1628</v>
      </c>
      <c r="Y43">
        <v>1754</v>
      </c>
      <c r="Z43">
        <v>1866</v>
      </c>
      <c r="AA43">
        <v>1988</v>
      </c>
      <c r="AB43">
        <v>2105</v>
      </c>
      <c r="AC43">
        <v>2219</v>
      </c>
      <c r="AD43">
        <v>2346</v>
      </c>
    </row>
    <row r="44" spans="2:30" x14ac:dyDescent="0.25">
      <c r="C44" t="s">
        <v>10</v>
      </c>
      <c r="D44">
        <v>0</v>
      </c>
      <c r="E44">
        <v>0</v>
      </c>
      <c r="F44">
        <v>0</v>
      </c>
      <c r="G44">
        <v>282</v>
      </c>
      <c r="H44">
        <v>554</v>
      </c>
      <c r="I44">
        <v>838</v>
      </c>
      <c r="J44">
        <v>1114</v>
      </c>
      <c r="K44">
        <v>1399</v>
      </c>
      <c r="L44">
        <v>1656</v>
      </c>
      <c r="M44">
        <v>1916</v>
      </c>
      <c r="N44">
        <v>2214</v>
      </c>
      <c r="O44">
        <v>2478</v>
      </c>
      <c r="P44">
        <v>2764</v>
      </c>
      <c r="Q44">
        <v>3041</v>
      </c>
      <c r="R44">
        <v>3321</v>
      </c>
      <c r="S44">
        <v>3602</v>
      </c>
      <c r="T44">
        <v>3865</v>
      </c>
      <c r="U44">
        <v>4139</v>
      </c>
      <c r="V44">
        <v>4423</v>
      </c>
      <c r="W44">
        <v>4671</v>
      </c>
      <c r="X44">
        <v>4936</v>
      </c>
      <c r="Y44">
        <v>5208</v>
      </c>
      <c r="Z44">
        <v>5494</v>
      </c>
      <c r="AA44">
        <v>5772</v>
      </c>
      <c r="AB44">
        <v>6073</v>
      </c>
      <c r="AC44">
        <v>6368</v>
      </c>
      <c r="AD44">
        <v>6633</v>
      </c>
    </row>
    <row r="46" spans="2:30" x14ac:dyDescent="0.25">
      <c r="B46" s="1" t="s">
        <v>22</v>
      </c>
      <c r="C46" t="s">
        <v>15</v>
      </c>
      <c r="F46">
        <f>F69-F47-F48-F49</f>
        <v>20203</v>
      </c>
      <c r="G46">
        <f t="shared" ref="G46:AD46" si="4">G69-G47-G48-G49</f>
        <v>20247</v>
      </c>
      <c r="H46">
        <f t="shared" si="4"/>
        <v>20257</v>
      </c>
      <c r="I46">
        <f t="shared" si="4"/>
        <v>20276</v>
      </c>
      <c r="J46">
        <f t="shared" si="4"/>
        <v>20280</v>
      </c>
      <c r="K46">
        <f t="shared" si="4"/>
        <v>20254</v>
      </c>
      <c r="L46">
        <f t="shared" si="4"/>
        <v>20215</v>
      </c>
      <c r="M46">
        <f t="shared" si="4"/>
        <v>20251</v>
      </c>
      <c r="N46">
        <f t="shared" si="4"/>
        <v>20190</v>
      </c>
      <c r="O46">
        <f t="shared" si="4"/>
        <v>20098</v>
      </c>
      <c r="P46">
        <f t="shared" si="4"/>
        <v>20080</v>
      </c>
      <c r="Q46">
        <f t="shared" si="4"/>
        <v>20016</v>
      </c>
      <c r="R46">
        <f t="shared" si="4"/>
        <v>20012</v>
      </c>
      <c r="S46">
        <f t="shared" si="4"/>
        <v>20007</v>
      </c>
      <c r="T46">
        <f t="shared" si="4"/>
        <v>19954</v>
      </c>
      <c r="U46">
        <f t="shared" si="4"/>
        <v>19938</v>
      </c>
      <c r="V46">
        <f t="shared" si="4"/>
        <v>19884</v>
      </c>
      <c r="W46">
        <f t="shared" si="4"/>
        <v>19838</v>
      </c>
      <c r="X46">
        <f t="shared" si="4"/>
        <v>19787</v>
      </c>
      <c r="Y46">
        <f t="shared" si="4"/>
        <v>19747</v>
      </c>
      <c r="Z46">
        <f t="shared" si="4"/>
        <v>19683</v>
      </c>
      <c r="AA46">
        <f t="shared" si="4"/>
        <v>19673</v>
      </c>
      <c r="AB46">
        <f t="shared" si="4"/>
        <v>19637</v>
      </c>
      <c r="AC46">
        <f t="shared" si="4"/>
        <v>19595</v>
      </c>
      <c r="AD46">
        <f t="shared" si="4"/>
        <v>19520</v>
      </c>
    </row>
    <row r="47" spans="2:30" x14ac:dyDescent="0.25">
      <c r="C47" t="s">
        <v>12</v>
      </c>
      <c r="F47">
        <v>2197</v>
      </c>
      <c r="G47">
        <v>2308</v>
      </c>
      <c r="H47">
        <v>2451</v>
      </c>
      <c r="I47">
        <v>2551</v>
      </c>
      <c r="J47">
        <v>2673</v>
      </c>
      <c r="K47">
        <v>2783</v>
      </c>
      <c r="L47">
        <v>2898</v>
      </c>
      <c r="M47">
        <v>2947</v>
      </c>
      <c r="N47">
        <v>3061</v>
      </c>
      <c r="O47">
        <v>3200</v>
      </c>
      <c r="P47">
        <v>3310</v>
      </c>
      <c r="Q47">
        <v>3459</v>
      </c>
      <c r="R47">
        <v>3532</v>
      </c>
      <c r="S47">
        <v>3600</v>
      </c>
      <c r="T47">
        <v>3709</v>
      </c>
      <c r="U47">
        <v>3779</v>
      </c>
      <c r="V47">
        <v>3884</v>
      </c>
      <c r="W47">
        <v>3944</v>
      </c>
      <c r="X47">
        <v>3990</v>
      </c>
      <c r="Y47">
        <v>4048</v>
      </c>
      <c r="Z47">
        <v>4119</v>
      </c>
      <c r="AA47">
        <v>4182</v>
      </c>
      <c r="AB47">
        <v>4243</v>
      </c>
      <c r="AC47">
        <v>4315</v>
      </c>
      <c r="AD47">
        <v>4400</v>
      </c>
    </row>
    <row r="48" spans="2:30" x14ac:dyDescent="0.25">
      <c r="C48" t="s">
        <v>16</v>
      </c>
      <c r="G48">
        <v>72</v>
      </c>
      <c r="H48">
        <v>141</v>
      </c>
      <c r="I48">
        <v>215</v>
      </c>
      <c r="J48">
        <v>293</v>
      </c>
      <c r="K48">
        <v>370</v>
      </c>
      <c r="L48">
        <v>458</v>
      </c>
      <c r="M48">
        <v>548</v>
      </c>
      <c r="N48">
        <v>631</v>
      </c>
      <c r="O48">
        <v>720</v>
      </c>
      <c r="P48">
        <v>801</v>
      </c>
      <c r="Q48">
        <v>892</v>
      </c>
      <c r="R48">
        <v>986</v>
      </c>
      <c r="S48">
        <v>1105</v>
      </c>
      <c r="T48">
        <v>1210</v>
      </c>
      <c r="U48">
        <v>1329</v>
      </c>
      <c r="V48">
        <v>1461</v>
      </c>
      <c r="W48">
        <v>1594</v>
      </c>
      <c r="X48">
        <v>1738</v>
      </c>
      <c r="Y48">
        <v>1889</v>
      </c>
      <c r="Z48">
        <v>2032</v>
      </c>
      <c r="AA48">
        <v>2174</v>
      </c>
      <c r="AB48">
        <v>2303</v>
      </c>
      <c r="AC48">
        <v>2433</v>
      </c>
      <c r="AD48">
        <v>2583</v>
      </c>
    </row>
    <row r="49" spans="2:30" x14ac:dyDescent="0.25">
      <c r="C49" t="s">
        <v>10</v>
      </c>
      <c r="G49">
        <f>G66-G48</f>
        <v>189</v>
      </c>
      <c r="H49">
        <f t="shared" ref="H49:AD49" si="5">H66-H48</f>
        <v>383</v>
      </c>
      <c r="I49">
        <f t="shared" si="5"/>
        <v>606</v>
      </c>
      <c r="J49">
        <f t="shared" si="5"/>
        <v>818</v>
      </c>
      <c r="K49">
        <f t="shared" si="5"/>
        <v>1073</v>
      </c>
      <c r="L49">
        <f t="shared" si="5"/>
        <v>1325</v>
      </c>
      <c r="M49">
        <f t="shared" si="5"/>
        <v>1566</v>
      </c>
      <c r="N49">
        <f t="shared" si="5"/>
        <v>1846</v>
      </c>
      <c r="O49">
        <f t="shared" si="5"/>
        <v>2126</v>
      </c>
      <c r="P49">
        <f t="shared" si="5"/>
        <v>2369</v>
      </c>
      <c r="Q49">
        <f t="shared" si="5"/>
        <v>2609</v>
      </c>
      <c r="R49">
        <f t="shared" si="5"/>
        <v>2862</v>
      </c>
      <c r="S49">
        <f t="shared" si="5"/>
        <v>3096</v>
      </c>
      <c r="T49">
        <f t="shared" si="5"/>
        <v>3351</v>
      </c>
      <c r="U49">
        <f t="shared" si="5"/>
        <v>3594</v>
      </c>
      <c r="V49">
        <f t="shared" si="5"/>
        <v>3827</v>
      </c>
      <c r="W49">
        <f t="shared" si="5"/>
        <v>4096</v>
      </c>
      <c r="X49">
        <f t="shared" si="5"/>
        <v>4373</v>
      </c>
      <c r="Y49">
        <f t="shared" si="5"/>
        <v>4620</v>
      </c>
      <c r="Z49">
        <f t="shared" si="5"/>
        <v>4886</v>
      </c>
      <c r="AA49">
        <f t="shared" si="5"/>
        <v>5107</v>
      </c>
      <c r="AB49">
        <f t="shared" si="5"/>
        <v>5369</v>
      </c>
      <c r="AC49">
        <f t="shared" si="5"/>
        <v>5625</v>
      </c>
      <c r="AD49">
        <f t="shared" si="5"/>
        <v>5881</v>
      </c>
    </row>
    <row r="52" spans="2:30" x14ac:dyDescent="0.25">
      <c r="B52" s="1" t="s">
        <v>23</v>
      </c>
      <c r="C52" s="1" t="s">
        <v>17</v>
      </c>
      <c r="D52">
        <v>-2</v>
      </c>
      <c r="E52">
        <v>-1</v>
      </c>
      <c r="F52">
        <v>0</v>
      </c>
      <c r="G52">
        <v>1</v>
      </c>
      <c r="H52">
        <v>2</v>
      </c>
      <c r="I52">
        <v>3</v>
      </c>
      <c r="J52">
        <v>4</v>
      </c>
      <c r="K52">
        <v>5</v>
      </c>
      <c r="L52">
        <v>6</v>
      </c>
      <c r="M52">
        <v>7</v>
      </c>
      <c r="N52">
        <v>8</v>
      </c>
      <c r="O52">
        <v>9</v>
      </c>
      <c r="P52">
        <v>10</v>
      </c>
      <c r="Q52">
        <v>11</v>
      </c>
      <c r="R52">
        <v>12</v>
      </c>
      <c r="S52">
        <v>13</v>
      </c>
      <c r="T52">
        <v>14</v>
      </c>
      <c r="U52">
        <v>15</v>
      </c>
      <c r="V52">
        <v>16</v>
      </c>
      <c r="W52">
        <v>17</v>
      </c>
      <c r="X52">
        <v>18</v>
      </c>
      <c r="Y52">
        <v>19</v>
      </c>
      <c r="Z52">
        <v>20</v>
      </c>
      <c r="AA52">
        <v>21</v>
      </c>
      <c r="AB52">
        <v>22</v>
      </c>
      <c r="AC52">
        <v>23</v>
      </c>
      <c r="AD52">
        <v>24</v>
      </c>
    </row>
    <row r="53" spans="2:30" x14ac:dyDescent="0.25">
      <c r="C53" t="s">
        <v>1</v>
      </c>
      <c r="D53">
        <v>22400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</row>
    <row r="54" spans="2:30" x14ac:dyDescent="0.25">
      <c r="C54" t="s">
        <v>2</v>
      </c>
      <c r="D54">
        <v>0</v>
      </c>
      <c r="E54">
        <v>22400</v>
      </c>
      <c r="F54">
        <v>416</v>
      </c>
      <c r="G54">
        <v>416</v>
      </c>
      <c r="H54">
        <v>416</v>
      </c>
      <c r="I54">
        <v>416</v>
      </c>
      <c r="J54">
        <v>416</v>
      </c>
      <c r="K54">
        <v>416</v>
      </c>
      <c r="L54">
        <v>416</v>
      </c>
      <c r="M54">
        <v>416</v>
      </c>
      <c r="N54">
        <v>416</v>
      </c>
      <c r="O54">
        <v>416</v>
      </c>
      <c r="P54">
        <v>416</v>
      </c>
      <c r="Q54">
        <v>416</v>
      </c>
      <c r="R54">
        <v>416</v>
      </c>
      <c r="S54">
        <v>416</v>
      </c>
      <c r="T54">
        <v>416</v>
      </c>
      <c r="U54">
        <v>416</v>
      </c>
      <c r="V54">
        <v>416</v>
      </c>
      <c r="W54">
        <v>416</v>
      </c>
      <c r="X54">
        <v>416</v>
      </c>
      <c r="Y54">
        <v>416</v>
      </c>
      <c r="Z54">
        <v>416</v>
      </c>
      <c r="AA54">
        <v>416</v>
      </c>
      <c r="AB54">
        <v>416</v>
      </c>
      <c r="AC54">
        <v>416</v>
      </c>
      <c r="AD54">
        <v>416</v>
      </c>
    </row>
    <row r="55" spans="2:30" x14ac:dyDescent="0.25">
      <c r="C55" t="s">
        <v>18</v>
      </c>
      <c r="D55">
        <v>0</v>
      </c>
      <c r="E55">
        <v>0</v>
      </c>
      <c r="F55">
        <v>6461</v>
      </c>
      <c r="G55">
        <v>6358</v>
      </c>
      <c r="H55">
        <v>6304</v>
      </c>
      <c r="I55">
        <v>6274</v>
      </c>
      <c r="J55">
        <v>6251</v>
      </c>
      <c r="K55">
        <v>6243</v>
      </c>
      <c r="L55">
        <v>6198</v>
      </c>
      <c r="M55">
        <v>6198</v>
      </c>
      <c r="N55">
        <v>6129</v>
      </c>
      <c r="O55">
        <v>6108</v>
      </c>
      <c r="P55">
        <v>6141</v>
      </c>
      <c r="Q55">
        <v>6152</v>
      </c>
      <c r="R55">
        <v>6100</v>
      </c>
      <c r="S55">
        <v>6049</v>
      </c>
      <c r="T55">
        <v>6047</v>
      </c>
      <c r="U55">
        <v>6053</v>
      </c>
      <c r="V55">
        <v>6042</v>
      </c>
      <c r="W55">
        <v>6005</v>
      </c>
      <c r="X55">
        <v>5968</v>
      </c>
      <c r="Y55">
        <v>5999</v>
      </c>
      <c r="Z55">
        <v>5960</v>
      </c>
      <c r="AA55">
        <v>5931</v>
      </c>
      <c r="AB55">
        <v>5919</v>
      </c>
      <c r="AC55">
        <v>5845</v>
      </c>
      <c r="AD55">
        <v>5832</v>
      </c>
    </row>
    <row r="56" spans="2:30" x14ac:dyDescent="0.25">
      <c r="C56" t="s">
        <v>19</v>
      </c>
      <c r="D56">
        <v>0</v>
      </c>
      <c r="E56">
        <v>0</v>
      </c>
      <c r="F56">
        <v>7580</v>
      </c>
      <c r="G56">
        <v>7671</v>
      </c>
      <c r="H56">
        <v>7761</v>
      </c>
      <c r="I56">
        <v>7797</v>
      </c>
      <c r="J56">
        <v>7787</v>
      </c>
      <c r="K56">
        <v>7758</v>
      </c>
      <c r="L56">
        <v>7800</v>
      </c>
      <c r="M56">
        <v>7845</v>
      </c>
      <c r="N56">
        <v>7889</v>
      </c>
      <c r="O56">
        <v>7923</v>
      </c>
      <c r="P56">
        <v>7862</v>
      </c>
      <c r="Q56">
        <v>7871</v>
      </c>
      <c r="R56">
        <v>7908</v>
      </c>
      <c r="S56">
        <v>7947</v>
      </c>
      <c r="T56">
        <v>7970</v>
      </c>
      <c r="U56">
        <v>7955</v>
      </c>
      <c r="V56">
        <v>7968</v>
      </c>
      <c r="W56">
        <v>8011</v>
      </c>
      <c r="X56">
        <v>8032</v>
      </c>
      <c r="Y56">
        <v>8033</v>
      </c>
      <c r="Z56">
        <v>8057</v>
      </c>
      <c r="AA56">
        <v>8074</v>
      </c>
      <c r="AB56">
        <v>8050</v>
      </c>
      <c r="AC56">
        <v>8069</v>
      </c>
      <c r="AD56">
        <v>8088</v>
      </c>
    </row>
    <row r="57" spans="2:30" x14ac:dyDescent="0.25">
      <c r="C57" t="s">
        <v>20</v>
      </c>
      <c r="D57">
        <v>0</v>
      </c>
      <c r="E57">
        <v>0</v>
      </c>
      <c r="F57">
        <v>8359</v>
      </c>
      <c r="G57">
        <v>8447</v>
      </c>
      <c r="H57">
        <v>8490</v>
      </c>
      <c r="I57">
        <v>8542</v>
      </c>
      <c r="J57">
        <v>8642</v>
      </c>
      <c r="K57">
        <v>8734</v>
      </c>
      <c r="L57">
        <v>8818</v>
      </c>
      <c r="M57">
        <v>8842</v>
      </c>
      <c r="N57">
        <v>8897</v>
      </c>
      <c r="O57">
        <v>8940</v>
      </c>
      <c r="P57">
        <v>8996</v>
      </c>
      <c r="Q57">
        <v>9024</v>
      </c>
      <c r="R57">
        <v>9075</v>
      </c>
      <c r="S57">
        <v>9124</v>
      </c>
      <c r="T57">
        <v>9156</v>
      </c>
      <c r="U57">
        <v>9188</v>
      </c>
      <c r="V57">
        <v>9215</v>
      </c>
      <c r="W57">
        <v>9263</v>
      </c>
      <c r="X57">
        <v>9324</v>
      </c>
      <c r="Y57">
        <v>9310</v>
      </c>
      <c r="Z57">
        <v>9343</v>
      </c>
      <c r="AA57">
        <v>9371</v>
      </c>
      <c r="AB57">
        <v>9405</v>
      </c>
      <c r="AC57">
        <v>9467</v>
      </c>
      <c r="AD57">
        <v>9485</v>
      </c>
    </row>
    <row r="58" spans="2:30" x14ac:dyDescent="0.25">
      <c r="C58" t="s">
        <v>21</v>
      </c>
      <c r="D58">
        <v>0</v>
      </c>
      <c r="E58">
        <v>0</v>
      </c>
      <c r="F58">
        <v>0</v>
      </c>
      <c r="G58">
        <v>340</v>
      </c>
      <c r="H58">
        <v>677</v>
      </c>
      <c r="I58">
        <v>1035</v>
      </c>
      <c r="J58">
        <v>1384</v>
      </c>
      <c r="K58">
        <v>1745</v>
      </c>
      <c r="L58">
        <v>2080</v>
      </c>
      <c r="M58">
        <v>2427</v>
      </c>
      <c r="N58">
        <v>2813</v>
      </c>
      <c r="O58">
        <v>3173</v>
      </c>
      <c r="P58">
        <v>3561</v>
      </c>
      <c r="Q58">
        <v>3929</v>
      </c>
      <c r="R58">
        <v>4309</v>
      </c>
      <c r="S58">
        <v>4688</v>
      </c>
      <c r="T58">
        <v>5051</v>
      </c>
      <c r="U58">
        <v>5444</v>
      </c>
      <c r="V58">
        <v>5831</v>
      </c>
      <c r="W58">
        <v>6193</v>
      </c>
      <c r="X58">
        <v>6564</v>
      </c>
      <c r="Y58">
        <v>6962</v>
      </c>
      <c r="Z58">
        <v>7360</v>
      </c>
      <c r="AA58">
        <v>7760</v>
      </c>
      <c r="AB58">
        <v>8178</v>
      </c>
      <c r="AC58">
        <v>8587</v>
      </c>
      <c r="AD58">
        <v>8979</v>
      </c>
    </row>
    <row r="60" spans="2:30" x14ac:dyDescent="0.25">
      <c r="B60" s="1" t="s">
        <v>22</v>
      </c>
      <c r="C60" t="s">
        <v>18</v>
      </c>
      <c r="F60">
        <f>F69-F62-F61-F63</f>
        <v>6656</v>
      </c>
      <c r="G60">
        <f t="shared" ref="G60:AD60" si="6">G69-G62-G61-G63</f>
        <v>6521</v>
      </c>
      <c r="H60">
        <f t="shared" si="6"/>
        <v>6394</v>
      </c>
      <c r="I60">
        <f t="shared" si="6"/>
        <v>6320</v>
      </c>
      <c r="J60">
        <f t="shared" si="6"/>
        <v>6199</v>
      </c>
      <c r="K60">
        <f t="shared" si="6"/>
        <v>6111</v>
      </c>
      <c r="L60">
        <f t="shared" si="6"/>
        <v>6017</v>
      </c>
      <c r="M60">
        <f t="shared" si="6"/>
        <v>5973</v>
      </c>
      <c r="N60">
        <f t="shared" si="6"/>
        <v>5956</v>
      </c>
      <c r="O60">
        <f t="shared" si="6"/>
        <v>5910</v>
      </c>
      <c r="P60">
        <f t="shared" si="6"/>
        <v>5909</v>
      </c>
      <c r="Q60">
        <f t="shared" si="6"/>
        <v>5859</v>
      </c>
      <c r="R60">
        <f t="shared" si="6"/>
        <v>5817</v>
      </c>
      <c r="S60">
        <f t="shared" si="6"/>
        <v>5809</v>
      </c>
      <c r="T60">
        <f t="shared" si="6"/>
        <v>5765</v>
      </c>
      <c r="U60">
        <f t="shared" si="6"/>
        <v>5704</v>
      </c>
      <c r="V60">
        <f t="shared" si="6"/>
        <v>5675</v>
      </c>
      <c r="W60">
        <f t="shared" si="6"/>
        <v>5655</v>
      </c>
      <c r="X60">
        <f t="shared" si="6"/>
        <v>5605</v>
      </c>
      <c r="Y60">
        <f t="shared" si="6"/>
        <v>5571</v>
      </c>
      <c r="Z60">
        <f t="shared" si="6"/>
        <v>5499</v>
      </c>
      <c r="AA60">
        <f t="shared" si="6"/>
        <v>5442</v>
      </c>
      <c r="AB60">
        <f t="shared" si="6"/>
        <v>5424</v>
      </c>
      <c r="AC60">
        <f t="shared" si="6"/>
        <v>5462</v>
      </c>
      <c r="AD60">
        <f t="shared" si="6"/>
        <v>5410</v>
      </c>
    </row>
    <row r="61" spans="2:30" x14ac:dyDescent="0.25">
      <c r="C61" t="s">
        <v>19</v>
      </c>
      <c r="F61">
        <v>7417</v>
      </c>
      <c r="G61">
        <v>7586</v>
      </c>
      <c r="H61">
        <v>7729</v>
      </c>
      <c r="I61">
        <v>7815</v>
      </c>
      <c r="J61">
        <v>7968</v>
      </c>
      <c r="K61">
        <v>8039</v>
      </c>
      <c r="L61">
        <v>8071</v>
      </c>
      <c r="M61">
        <v>8128</v>
      </c>
      <c r="N61">
        <v>8139</v>
      </c>
      <c r="O61">
        <v>8153</v>
      </c>
      <c r="P61">
        <v>8130</v>
      </c>
      <c r="Q61">
        <v>8151</v>
      </c>
      <c r="R61">
        <v>8174</v>
      </c>
      <c r="S61">
        <v>8141</v>
      </c>
      <c r="T61">
        <v>8216</v>
      </c>
      <c r="U61">
        <v>8295</v>
      </c>
      <c r="V61">
        <v>8295</v>
      </c>
      <c r="W61">
        <v>8286</v>
      </c>
      <c r="X61">
        <v>8263</v>
      </c>
      <c r="Y61">
        <v>8300</v>
      </c>
      <c r="Z61">
        <v>8332</v>
      </c>
      <c r="AA61">
        <v>8447</v>
      </c>
      <c r="AB61">
        <v>8446</v>
      </c>
      <c r="AC61">
        <v>8391</v>
      </c>
      <c r="AD61">
        <v>8377</v>
      </c>
    </row>
    <row r="62" spans="2:30" x14ac:dyDescent="0.25">
      <c r="C62" t="s">
        <v>20</v>
      </c>
      <c r="F62">
        <v>8327</v>
      </c>
      <c r="G62">
        <v>8448</v>
      </c>
      <c r="H62">
        <v>8585</v>
      </c>
      <c r="I62">
        <v>8692</v>
      </c>
      <c r="J62">
        <v>8786</v>
      </c>
      <c r="K62">
        <v>8887</v>
      </c>
      <c r="L62">
        <v>9025</v>
      </c>
      <c r="M62">
        <v>9097</v>
      </c>
      <c r="N62">
        <v>9156</v>
      </c>
      <c r="O62">
        <v>9235</v>
      </c>
      <c r="P62">
        <v>9351</v>
      </c>
      <c r="Q62">
        <v>9465</v>
      </c>
      <c r="R62">
        <v>9553</v>
      </c>
      <c r="S62">
        <v>9657</v>
      </c>
      <c r="T62">
        <v>9682</v>
      </c>
      <c r="U62">
        <v>9718</v>
      </c>
      <c r="V62">
        <v>9798</v>
      </c>
      <c r="W62">
        <v>9841</v>
      </c>
      <c r="X62">
        <v>9909</v>
      </c>
      <c r="Y62">
        <v>9924</v>
      </c>
      <c r="Z62">
        <v>9971</v>
      </c>
      <c r="AA62">
        <v>9966</v>
      </c>
      <c r="AB62">
        <v>10010</v>
      </c>
      <c r="AC62">
        <v>10057</v>
      </c>
      <c r="AD62">
        <v>10133</v>
      </c>
    </row>
    <row r="63" spans="2:30" x14ac:dyDescent="0.25">
      <c r="C63" t="s">
        <v>21</v>
      </c>
      <c r="G63">
        <v>261</v>
      </c>
      <c r="H63">
        <v>524</v>
      </c>
      <c r="I63">
        <v>821</v>
      </c>
      <c r="J63">
        <v>1111</v>
      </c>
      <c r="K63">
        <v>1443</v>
      </c>
      <c r="L63">
        <v>1783</v>
      </c>
      <c r="M63">
        <v>2114</v>
      </c>
      <c r="N63">
        <v>2477</v>
      </c>
      <c r="O63">
        <v>2846</v>
      </c>
      <c r="P63">
        <v>3170</v>
      </c>
      <c r="Q63">
        <v>3501</v>
      </c>
      <c r="R63">
        <v>3848</v>
      </c>
      <c r="S63">
        <v>4201</v>
      </c>
      <c r="T63">
        <v>4561</v>
      </c>
      <c r="U63">
        <v>4923</v>
      </c>
      <c r="V63">
        <v>5288</v>
      </c>
      <c r="W63">
        <v>5690</v>
      </c>
      <c r="X63">
        <v>6111</v>
      </c>
      <c r="Y63">
        <v>6509</v>
      </c>
      <c r="Z63">
        <v>6918</v>
      </c>
      <c r="AA63">
        <v>7281</v>
      </c>
      <c r="AB63">
        <v>7672</v>
      </c>
      <c r="AC63">
        <v>8058</v>
      </c>
      <c r="AD63">
        <v>8464</v>
      </c>
    </row>
    <row r="66" spans="4:30" x14ac:dyDescent="0.25">
      <c r="D66" t="s">
        <v>24</v>
      </c>
      <c r="G66">
        <v>261</v>
      </c>
      <c r="H66">
        <v>524</v>
      </c>
      <c r="I66">
        <v>821</v>
      </c>
      <c r="J66">
        <v>1111</v>
      </c>
      <c r="K66">
        <v>1443</v>
      </c>
      <c r="L66">
        <v>1783</v>
      </c>
      <c r="M66">
        <v>2114</v>
      </c>
      <c r="N66">
        <v>2477</v>
      </c>
      <c r="O66">
        <v>2846</v>
      </c>
      <c r="P66">
        <v>3170</v>
      </c>
      <c r="Q66">
        <v>3501</v>
      </c>
      <c r="R66">
        <v>3848</v>
      </c>
      <c r="S66">
        <v>4201</v>
      </c>
      <c r="T66">
        <v>4561</v>
      </c>
      <c r="U66">
        <v>4923</v>
      </c>
      <c r="V66">
        <v>5288</v>
      </c>
      <c r="W66">
        <v>5690</v>
      </c>
      <c r="X66">
        <v>6111</v>
      </c>
      <c r="Y66">
        <v>6509</v>
      </c>
      <c r="Z66">
        <v>6918</v>
      </c>
      <c r="AA66">
        <v>7281</v>
      </c>
      <c r="AB66">
        <v>7672</v>
      </c>
      <c r="AC66">
        <v>8058</v>
      </c>
      <c r="AD66">
        <v>8464</v>
      </c>
    </row>
    <row r="67" spans="4:30" x14ac:dyDescent="0.25">
      <c r="D67" t="s">
        <v>25</v>
      </c>
    </row>
    <row r="69" spans="4:30" x14ac:dyDescent="0.25">
      <c r="D69" t="s">
        <v>26</v>
      </c>
      <c r="F69">
        <v>22400</v>
      </c>
      <c r="G69">
        <f>F69+416</f>
        <v>22816</v>
      </c>
      <c r="H69">
        <f t="shared" ref="H69:AD69" si="7">G69+416</f>
        <v>23232</v>
      </c>
      <c r="I69">
        <f t="shared" si="7"/>
        <v>23648</v>
      </c>
      <c r="J69">
        <f t="shared" si="7"/>
        <v>24064</v>
      </c>
      <c r="K69">
        <f t="shared" si="7"/>
        <v>24480</v>
      </c>
      <c r="L69">
        <f t="shared" si="7"/>
        <v>24896</v>
      </c>
      <c r="M69">
        <f t="shared" si="7"/>
        <v>25312</v>
      </c>
      <c r="N69">
        <f t="shared" si="7"/>
        <v>25728</v>
      </c>
      <c r="O69">
        <f t="shared" si="7"/>
        <v>26144</v>
      </c>
      <c r="P69">
        <f t="shared" si="7"/>
        <v>26560</v>
      </c>
      <c r="Q69">
        <f t="shared" si="7"/>
        <v>26976</v>
      </c>
      <c r="R69">
        <f t="shared" si="7"/>
        <v>27392</v>
      </c>
      <c r="S69">
        <f t="shared" si="7"/>
        <v>27808</v>
      </c>
      <c r="T69">
        <f t="shared" si="7"/>
        <v>28224</v>
      </c>
      <c r="U69">
        <f t="shared" si="7"/>
        <v>28640</v>
      </c>
      <c r="V69">
        <f t="shared" si="7"/>
        <v>29056</v>
      </c>
      <c r="W69">
        <f t="shared" si="7"/>
        <v>29472</v>
      </c>
      <c r="X69">
        <f t="shared" si="7"/>
        <v>29888</v>
      </c>
      <c r="Y69">
        <f t="shared" si="7"/>
        <v>30304</v>
      </c>
      <c r="Z69">
        <f t="shared" si="7"/>
        <v>30720</v>
      </c>
      <c r="AA69">
        <f t="shared" si="7"/>
        <v>31136</v>
      </c>
      <c r="AB69">
        <f t="shared" si="7"/>
        <v>31552</v>
      </c>
      <c r="AC69">
        <f t="shared" si="7"/>
        <v>31968</v>
      </c>
      <c r="AD69">
        <f t="shared" si="7"/>
        <v>32384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C3:AE190"/>
  <sheetViews>
    <sheetView workbookViewId="0">
      <selection activeCell="C3" sqref="C3"/>
    </sheetView>
  </sheetViews>
  <sheetFormatPr defaultRowHeight="15" x14ac:dyDescent="0.25"/>
  <cols>
    <col min="3" max="3" width="12.42578125" customWidth="1"/>
  </cols>
  <sheetData>
    <row r="3" spans="3:30" x14ac:dyDescent="0.25">
      <c r="D3" t="s">
        <v>27</v>
      </c>
      <c r="E3" t="s">
        <v>29</v>
      </c>
    </row>
    <row r="4" spans="3:30" x14ac:dyDescent="0.25">
      <c r="C4" t="s">
        <v>28</v>
      </c>
      <c r="D4">
        <v>-2</v>
      </c>
      <c r="E4">
        <v>-1</v>
      </c>
      <c r="F4">
        <v>0</v>
      </c>
      <c r="G4">
        <v>1</v>
      </c>
      <c r="H4">
        <v>2</v>
      </c>
      <c r="I4">
        <v>3</v>
      </c>
      <c r="J4">
        <v>4</v>
      </c>
      <c r="K4">
        <v>5</v>
      </c>
      <c r="L4">
        <v>6</v>
      </c>
      <c r="M4">
        <v>7</v>
      </c>
      <c r="N4">
        <v>8</v>
      </c>
      <c r="O4">
        <v>9</v>
      </c>
      <c r="P4">
        <v>10</v>
      </c>
      <c r="Q4">
        <v>11</v>
      </c>
      <c r="R4">
        <v>12</v>
      </c>
      <c r="S4">
        <v>13</v>
      </c>
      <c r="T4">
        <v>14</v>
      </c>
      <c r="U4">
        <v>15</v>
      </c>
      <c r="V4">
        <v>16</v>
      </c>
      <c r="W4">
        <v>17</v>
      </c>
      <c r="X4">
        <v>18</v>
      </c>
      <c r="Y4">
        <v>19</v>
      </c>
      <c r="Z4">
        <v>20</v>
      </c>
      <c r="AA4">
        <v>21</v>
      </c>
      <c r="AB4">
        <v>22</v>
      </c>
      <c r="AC4">
        <v>23</v>
      </c>
      <c r="AD4">
        <v>24</v>
      </c>
    </row>
    <row r="5" spans="3:30" x14ac:dyDescent="0.25">
      <c r="C5" t="s">
        <v>1</v>
      </c>
      <c r="D5">
        <v>22401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</row>
    <row r="6" spans="3:30" x14ac:dyDescent="0.25">
      <c r="C6">
        <v>20</v>
      </c>
      <c r="D6">
        <v>0</v>
      </c>
      <c r="E6">
        <v>439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</row>
    <row r="7" spans="3:30" x14ac:dyDescent="0.25">
      <c r="C7">
        <v>21</v>
      </c>
      <c r="D7">
        <v>0</v>
      </c>
      <c r="E7">
        <v>451</v>
      </c>
      <c r="F7">
        <v>855</v>
      </c>
      <c r="G7">
        <v>416</v>
      </c>
      <c r="H7">
        <v>416</v>
      </c>
      <c r="I7">
        <v>416</v>
      </c>
      <c r="J7">
        <v>416</v>
      </c>
      <c r="K7">
        <v>416</v>
      </c>
      <c r="L7">
        <v>416</v>
      </c>
      <c r="M7">
        <v>416</v>
      </c>
      <c r="N7">
        <v>416</v>
      </c>
      <c r="O7">
        <v>416</v>
      </c>
      <c r="P7">
        <v>416</v>
      </c>
      <c r="Q7">
        <v>416</v>
      </c>
      <c r="R7">
        <v>416</v>
      </c>
      <c r="S7">
        <v>416</v>
      </c>
      <c r="T7">
        <v>416</v>
      </c>
      <c r="U7">
        <v>416</v>
      </c>
      <c r="V7">
        <v>416</v>
      </c>
      <c r="W7">
        <v>416</v>
      </c>
      <c r="X7">
        <v>416</v>
      </c>
      <c r="Y7">
        <v>416</v>
      </c>
      <c r="Z7">
        <v>416</v>
      </c>
      <c r="AA7">
        <v>416</v>
      </c>
      <c r="AB7">
        <v>416</v>
      </c>
      <c r="AC7">
        <v>416</v>
      </c>
      <c r="AD7">
        <v>416</v>
      </c>
    </row>
    <row r="8" spans="3:30" x14ac:dyDescent="0.25">
      <c r="C8">
        <v>22</v>
      </c>
      <c r="D8">
        <v>0</v>
      </c>
      <c r="E8">
        <v>419</v>
      </c>
      <c r="F8">
        <v>451</v>
      </c>
      <c r="G8">
        <v>848</v>
      </c>
      <c r="H8">
        <v>416</v>
      </c>
      <c r="I8">
        <v>416</v>
      </c>
      <c r="J8">
        <v>416</v>
      </c>
      <c r="K8">
        <v>416</v>
      </c>
      <c r="L8">
        <v>416</v>
      </c>
      <c r="M8">
        <v>416</v>
      </c>
      <c r="N8">
        <v>416</v>
      </c>
      <c r="O8">
        <v>416</v>
      </c>
      <c r="P8">
        <v>416</v>
      </c>
      <c r="Q8">
        <v>416</v>
      </c>
      <c r="R8">
        <v>416</v>
      </c>
      <c r="S8">
        <v>416</v>
      </c>
      <c r="T8">
        <v>416</v>
      </c>
      <c r="U8">
        <v>416</v>
      </c>
      <c r="V8">
        <v>416</v>
      </c>
      <c r="W8">
        <v>416</v>
      </c>
      <c r="X8">
        <v>416</v>
      </c>
      <c r="Y8">
        <v>416</v>
      </c>
      <c r="Z8">
        <v>416</v>
      </c>
      <c r="AA8">
        <v>416</v>
      </c>
      <c r="AB8">
        <v>416</v>
      </c>
      <c r="AC8">
        <v>416</v>
      </c>
      <c r="AD8">
        <v>416</v>
      </c>
    </row>
    <row r="9" spans="3:30" x14ac:dyDescent="0.25">
      <c r="C9">
        <v>23</v>
      </c>
      <c r="D9">
        <v>0</v>
      </c>
      <c r="E9">
        <v>432</v>
      </c>
      <c r="F9">
        <v>419</v>
      </c>
      <c r="G9">
        <v>448</v>
      </c>
      <c r="H9">
        <v>841</v>
      </c>
      <c r="I9">
        <v>412</v>
      </c>
      <c r="J9">
        <v>413</v>
      </c>
      <c r="K9">
        <v>410</v>
      </c>
      <c r="L9">
        <v>412</v>
      </c>
      <c r="M9">
        <v>413</v>
      </c>
      <c r="N9">
        <v>410</v>
      </c>
      <c r="O9">
        <v>407</v>
      </c>
      <c r="P9">
        <v>411</v>
      </c>
      <c r="Q9">
        <v>409</v>
      </c>
      <c r="R9">
        <v>410</v>
      </c>
      <c r="S9">
        <v>411</v>
      </c>
      <c r="T9">
        <v>414</v>
      </c>
      <c r="U9">
        <v>410</v>
      </c>
      <c r="V9">
        <v>409</v>
      </c>
      <c r="W9">
        <v>410</v>
      </c>
      <c r="X9">
        <v>413</v>
      </c>
      <c r="Y9">
        <v>414</v>
      </c>
      <c r="Z9">
        <v>413</v>
      </c>
      <c r="AA9">
        <v>406</v>
      </c>
      <c r="AB9">
        <v>413</v>
      </c>
      <c r="AC9">
        <v>412</v>
      </c>
      <c r="AD9">
        <v>411</v>
      </c>
    </row>
    <row r="10" spans="3:30" x14ac:dyDescent="0.25">
      <c r="C10">
        <v>24</v>
      </c>
      <c r="D10">
        <v>0</v>
      </c>
      <c r="E10">
        <v>439</v>
      </c>
      <c r="F10">
        <v>432</v>
      </c>
      <c r="G10">
        <v>413</v>
      </c>
      <c r="H10">
        <v>442</v>
      </c>
      <c r="I10">
        <v>834</v>
      </c>
      <c r="J10">
        <v>407</v>
      </c>
      <c r="K10">
        <v>405</v>
      </c>
      <c r="L10">
        <v>404</v>
      </c>
      <c r="M10">
        <v>406</v>
      </c>
      <c r="N10">
        <v>411</v>
      </c>
      <c r="O10">
        <v>407</v>
      </c>
      <c r="P10">
        <v>405</v>
      </c>
      <c r="Q10">
        <v>402</v>
      </c>
      <c r="R10">
        <v>406</v>
      </c>
      <c r="S10">
        <v>407</v>
      </c>
      <c r="T10">
        <v>408</v>
      </c>
      <c r="U10">
        <v>409</v>
      </c>
      <c r="V10">
        <v>408</v>
      </c>
      <c r="W10">
        <v>407</v>
      </c>
      <c r="X10">
        <v>406</v>
      </c>
      <c r="Y10">
        <v>410</v>
      </c>
      <c r="Z10">
        <v>407</v>
      </c>
      <c r="AA10">
        <v>408</v>
      </c>
      <c r="AB10">
        <v>401</v>
      </c>
      <c r="AC10">
        <v>409</v>
      </c>
      <c r="AD10">
        <v>403</v>
      </c>
    </row>
    <row r="11" spans="3:30" x14ac:dyDescent="0.25">
      <c r="C11">
        <v>25</v>
      </c>
      <c r="D11">
        <v>0</v>
      </c>
      <c r="E11">
        <v>440</v>
      </c>
      <c r="F11">
        <v>439</v>
      </c>
      <c r="G11">
        <v>428</v>
      </c>
      <c r="H11">
        <v>411</v>
      </c>
      <c r="I11">
        <v>434</v>
      </c>
      <c r="J11">
        <v>822</v>
      </c>
      <c r="K11">
        <v>403</v>
      </c>
      <c r="L11">
        <v>401</v>
      </c>
      <c r="M11">
        <v>396</v>
      </c>
      <c r="N11">
        <v>402</v>
      </c>
      <c r="O11">
        <v>406</v>
      </c>
      <c r="P11">
        <v>401</v>
      </c>
      <c r="Q11">
        <v>403</v>
      </c>
      <c r="R11">
        <v>398</v>
      </c>
      <c r="S11">
        <v>398</v>
      </c>
      <c r="T11">
        <v>404</v>
      </c>
      <c r="U11">
        <v>401</v>
      </c>
      <c r="V11">
        <v>402</v>
      </c>
      <c r="W11">
        <v>403</v>
      </c>
      <c r="X11">
        <v>403</v>
      </c>
      <c r="Y11">
        <v>404</v>
      </c>
      <c r="Z11">
        <v>407</v>
      </c>
      <c r="AA11">
        <v>406</v>
      </c>
      <c r="AB11">
        <v>405</v>
      </c>
      <c r="AC11">
        <v>398</v>
      </c>
      <c r="AD11">
        <v>403</v>
      </c>
    </row>
    <row r="12" spans="3:30" x14ac:dyDescent="0.25">
      <c r="C12">
        <v>26</v>
      </c>
      <c r="D12">
        <v>0</v>
      </c>
      <c r="E12">
        <v>411</v>
      </c>
      <c r="F12">
        <v>440</v>
      </c>
      <c r="G12">
        <v>432</v>
      </c>
      <c r="H12">
        <v>422</v>
      </c>
      <c r="I12">
        <v>408</v>
      </c>
      <c r="J12">
        <v>431</v>
      </c>
      <c r="K12">
        <v>816</v>
      </c>
      <c r="L12">
        <v>398</v>
      </c>
      <c r="M12">
        <v>394</v>
      </c>
      <c r="N12">
        <v>390</v>
      </c>
      <c r="O12">
        <v>400</v>
      </c>
      <c r="P12">
        <v>398</v>
      </c>
      <c r="Q12">
        <v>393</v>
      </c>
      <c r="R12">
        <v>399</v>
      </c>
      <c r="S12">
        <v>394</v>
      </c>
      <c r="T12">
        <v>394</v>
      </c>
      <c r="U12">
        <v>399</v>
      </c>
      <c r="V12">
        <v>397</v>
      </c>
      <c r="W12">
        <v>397</v>
      </c>
      <c r="X12">
        <v>399</v>
      </c>
      <c r="Y12">
        <v>401</v>
      </c>
      <c r="Z12">
        <v>400</v>
      </c>
      <c r="AA12">
        <v>405</v>
      </c>
      <c r="AB12">
        <v>403</v>
      </c>
      <c r="AC12">
        <v>396</v>
      </c>
      <c r="AD12">
        <v>397</v>
      </c>
    </row>
    <row r="13" spans="3:30" x14ac:dyDescent="0.25">
      <c r="C13">
        <v>27</v>
      </c>
      <c r="D13">
        <v>0</v>
      </c>
      <c r="E13">
        <v>413</v>
      </c>
      <c r="F13">
        <v>411</v>
      </c>
      <c r="G13">
        <v>434</v>
      </c>
      <c r="H13">
        <v>426</v>
      </c>
      <c r="I13">
        <v>414</v>
      </c>
      <c r="J13">
        <v>401</v>
      </c>
      <c r="K13">
        <v>427</v>
      </c>
      <c r="L13">
        <v>808</v>
      </c>
      <c r="M13">
        <v>394</v>
      </c>
      <c r="N13">
        <v>386</v>
      </c>
      <c r="O13">
        <v>387</v>
      </c>
      <c r="P13">
        <v>398</v>
      </c>
      <c r="Q13">
        <v>392</v>
      </c>
      <c r="R13">
        <v>387</v>
      </c>
      <c r="S13">
        <v>396</v>
      </c>
      <c r="T13">
        <v>385</v>
      </c>
      <c r="U13">
        <v>391</v>
      </c>
      <c r="V13">
        <v>390</v>
      </c>
      <c r="W13">
        <v>396</v>
      </c>
      <c r="X13">
        <v>390</v>
      </c>
      <c r="Y13">
        <v>398</v>
      </c>
      <c r="Z13">
        <v>398</v>
      </c>
      <c r="AA13">
        <v>391</v>
      </c>
      <c r="AB13">
        <v>400</v>
      </c>
      <c r="AC13">
        <v>399</v>
      </c>
      <c r="AD13">
        <v>392</v>
      </c>
    </row>
    <row r="14" spans="3:30" x14ac:dyDescent="0.25">
      <c r="C14">
        <v>28</v>
      </c>
      <c r="D14">
        <v>0</v>
      </c>
      <c r="E14">
        <v>394</v>
      </c>
      <c r="F14">
        <v>413</v>
      </c>
      <c r="G14">
        <v>405</v>
      </c>
      <c r="H14">
        <v>432</v>
      </c>
      <c r="I14">
        <v>423</v>
      </c>
      <c r="J14">
        <v>408</v>
      </c>
      <c r="K14">
        <v>396</v>
      </c>
      <c r="L14">
        <v>422</v>
      </c>
      <c r="M14">
        <v>794</v>
      </c>
      <c r="N14">
        <v>388</v>
      </c>
      <c r="O14">
        <v>382</v>
      </c>
      <c r="P14">
        <v>380</v>
      </c>
      <c r="Q14">
        <v>396</v>
      </c>
      <c r="R14">
        <v>391</v>
      </c>
      <c r="S14">
        <v>382</v>
      </c>
      <c r="T14">
        <v>387</v>
      </c>
      <c r="U14">
        <v>383</v>
      </c>
      <c r="V14">
        <v>389</v>
      </c>
      <c r="W14">
        <v>385</v>
      </c>
      <c r="X14">
        <v>394</v>
      </c>
      <c r="Y14">
        <v>390</v>
      </c>
      <c r="Z14">
        <v>393</v>
      </c>
      <c r="AA14">
        <v>395</v>
      </c>
      <c r="AB14">
        <v>387</v>
      </c>
      <c r="AC14">
        <v>393</v>
      </c>
      <c r="AD14">
        <v>393</v>
      </c>
    </row>
    <row r="15" spans="3:30" x14ac:dyDescent="0.25">
      <c r="C15">
        <v>29</v>
      </c>
      <c r="D15">
        <v>0</v>
      </c>
      <c r="E15">
        <v>458</v>
      </c>
      <c r="F15">
        <v>394</v>
      </c>
      <c r="G15">
        <v>409</v>
      </c>
      <c r="H15">
        <v>405</v>
      </c>
      <c r="I15">
        <v>427</v>
      </c>
      <c r="J15">
        <v>418</v>
      </c>
      <c r="K15">
        <v>405</v>
      </c>
      <c r="L15">
        <v>391</v>
      </c>
      <c r="M15">
        <v>421</v>
      </c>
      <c r="N15">
        <v>787</v>
      </c>
      <c r="O15">
        <v>387</v>
      </c>
      <c r="P15">
        <v>377</v>
      </c>
      <c r="Q15">
        <v>379</v>
      </c>
      <c r="R15">
        <v>391</v>
      </c>
      <c r="S15">
        <v>382</v>
      </c>
      <c r="T15">
        <v>379</v>
      </c>
      <c r="U15">
        <v>384</v>
      </c>
      <c r="V15">
        <v>379</v>
      </c>
      <c r="W15">
        <v>386</v>
      </c>
      <c r="X15">
        <v>381</v>
      </c>
      <c r="Y15">
        <v>391</v>
      </c>
      <c r="Z15">
        <v>385</v>
      </c>
      <c r="AA15">
        <v>389</v>
      </c>
      <c r="AB15">
        <v>393</v>
      </c>
      <c r="AC15">
        <v>382</v>
      </c>
      <c r="AD15">
        <v>387</v>
      </c>
    </row>
    <row r="16" spans="3:30" x14ac:dyDescent="0.25">
      <c r="C16">
        <v>30</v>
      </c>
      <c r="D16">
        <v>0</v>
      </c>
      <c r="E16">
        <v>411</v>
      </c>
      <c r="F16">
        <v>458</v>
      </c>
      <c r="G16">
        <v>392</v>
      </c>
      <c r="H16">
        <v>406</v>
      </c>
      <c r="I16">
        <v>396</v>
      </c>
      <c r="J16">
        <v>423</v>
      </c>
      <c r="K16">
        <v>411</v>
      </c>
      <c r="L16">
        <v>401</v>
      </c>
      <c r="M16">
        <v>391</v>
      </c>
      <c r="N16">
        <v>413</v>
      </c>
      <c r="O16">
        <v>775</v>
      </c>
      <c r="P16">
        <v>385</v>
      </c>
      <c r="Q16">
        <v>371</v>
      </c>
      <c r="R16">
        <v>370</v>
      </c>
      <c r="S16">
        <v>383</v>
      </c>
      <c r="T16">
        <v>377</v>
      </c>
      <c r="U16">
        <v>372</v>
      </c>
      <c r="V16">
        <v>379</v>
      </c>
      <c r="W16">
        <v>375</v>
      </c>
      <c r="X16">
        <v>385</v>
      </c>
      <c r="Y16">
        <v>378</v>
      </c>
      <c r="Z16">
        <v>387</v>
      </c>
      <c r="AA16">
        <v>382</v>
      </c>
      <c r="AB16">
        <v>380</v>
      </c>
      <c r="AC16">
        <v>389</v>
      </c>
      <c r="AD16">
        <v>379</v>
      </c>
    </row>
    <row r="17" spans="3:30" x14ac:dyDescent="0.25">
      <c r="C17">
        <v>31</v>
      </c>
      <c r="D17">
        <v>0</v>
      </c>
      <c r="E17">
        <v>409</v>
      </c>
      <c r="F17">
        <v>411</v>
      </c>
      <c r="G17">
        <v>452</v>
      </c>
      <c r="H17">
        <v>389</v>
      </c>
      <c r="I17">
        <v>400</v>
      </c>
      <c r="J17">
        <v>393</v>
      </c>
      <c r="K17">
        <v>416</v>
      </c>
      <c r="L17">
        <v>407</v>
      </c>
      <c r="M17">
        <v>394</v>
      </c>
      <c r="N17">
        <v>388</v>
      </c>
      <c r="O17">
        <v>410</v>
      </c>
      <c r="P17">
        <v>761</v>
      </c>
      <c r="Q17">
        <v>378</v>
      </c>
      <c r="R17">
        <v>368</v>
      </c>
      <c r="S17">
        <v>365</v>
      </c>
      <c r="T17">
        <v>377</v>
      </c>
      <c r="U17">
        <v>373</v>
      </c>
      <c r="V17">
        <v>370</v>
      </c>
      <c r="W17">
        <v>372</v>
      </c>
      <c r="X17">
        <v>373</v>
      </c>
      <c r="Y17">
        <v>382</v>
      </c>
      <c r="Z17">
        <v>374</v>
      </c>
      <c r="AA17">
        <v>381</v>
      </c>
      <c r="AB17">
        <v>382</v>
      </c>
      <c r="AC17">
        <v>378</v>
      </c>
      <c r="AD17">
        <v>387</v>
      </c>
    </row>
    <row r="18" spans="3:30" x14ac:dyDescent="0.25">
      <c r="C18">
        <v>32</v>
      </c>
      <c r="D18">
        <v>0</v>
      </c>
      <c r="E18">
        <v>402</v>
      </c>
      <c r="F18">
        <v>409</v>
      </c>
      <c r="G18">
        <v>407</v>
      </c>
      <c r="H18">
        <v>450</v>
      </c>
      <c r="I18">
        <v>385</v>
      </c>
      <c r="J18">
        <v>395</v>
      </c>
      <c r="K18">
        <v>387</v>
      </c>
      <c r="L18">
        <v>413</v>
      </c>
      <c r="M18">
        <v>403</v>
      </c>
      <c r="N18">
        <v>388</v>
      </c>
      <c r="O18">
        <v>386</v>
      </c>
      <c r="P18">
        <v>406</v>
      </c>
      <c r="Q18">
        <v>754</v>
      </c>
      <c r="R18">
        <v>372</v>
      </c>
      <c r="S18">
        <v>364</v>
      </c>
      <c r="T18">
        <v>361</v>
      </c>
      <c r="U18">
        <v>373</v>
      </c>
      <c r="V18">
        <v>368</v>
      </c>
      <c r="W18">
        <v>366</v>
      </c>
      <c r="X18">
        <v>369</v>
      </c>
      <c r="Y18">
        <v>372</v>
      </c>
      <c r="Z18">
        <v>378</v>
      </c>
      <c r="AA18">
        <v>369</v>
      </c>
      <c r="AB18">
        <v>379</v>
      </c>
      <c r="AC18">
        <v>378</v>
      </c>
      <c r="AD18">
        <v>375</v>
      </c>
    </row>
    <row r="19" spans="3:30" x14ac:dyDescent="0.25">
      <c r="C19">
        <v>33</v>
      </c>
      <c r="D19">
        <v>0</v>
      </c>
      <c r="E19">
        <v>407</v>
      </c>
      <c r="F19">
        <v>402</v>
      </c>
      <c r="G19">
        <v>402</v>
      </c>
      <c r="H19">
        <v>403</v>
      </c>
      <c r="I19">
        <v>445</v>
      </c>
      <c r="J19">
        <v>382</v>
      </c>
      <c r="K19">
        <v>390</v>
      </c>
      <c r="L19">
        <v>384</v>
      </c>
      <c r="M19">
        <v>408</v>
      </c>
      <c r="N19">
        <v>398</v>
      </c>
      <c r="O19">
        <v>382</v>
      </c>
      <c r="P19">
        <v>382</v>
      </c>
      <c r="Q19">
        <v>402</v>
      </c>
      <c r="R19">
        <v>746</v>
      </c>
      <c r="S19">
        <v>368</v>
      </c>
      <c r="T19">
        <v>363</v>
      </c>
      <c r="U19">
        <v>355</v>
      </c>
      <c r="V19">
        <v>365</v>
      </c>
      <c r="W19">
        <v>363</v>
      </c>
      <c r="X19">
        <v>364</v>
      </c>
      <c r="Y19">
        <v>364</v>
      </c>
      <c r="Z19">
        <v>370</v>
      </c>
      <c r="AA19">
        <v>373</v>
      </c>
      <c r="AB19">
        <v>366</v>
      </c>
      <c r="AC19">
        <v>375</v>
      </c>
      <c r="AD19">
        <v>372</v>
      </c>
    </row>
    <row r="20" spans="3:30" x14ac:dyDescent="0.25">
      <c r="C20">
        <v>34</v>
      </c>
      <c r="D20">
        <v>0</v>
      </c>
      <c r="E20">
        <v>395</v>
      </c>
      <c r="F20">
        <v>407</v>
      </c>
      <c r="G20">
        <v>398</v>
      </c>
      <c r="H20">
        <v>396</v>
      </c>
      <c r="I20">
        <v>401</v>
      </c>
      <c r="J20">
        <v>439</v>
      </c>
      <c r="K20">
        <v>374</v>
      </c>
      <c r="L20">
        <v>385</v>
      </c>
      <c r="M20">
        <v>380</v>
      </c>
      <c r="N20">
        <v>407</v>
      </c>
      <c r="O20">
        <v>395</v>
      </c>
      <c r="P20">
        <v>377</v>
      </c>
      <c r="Q20">
        <v>376</v>
      </c>
      <c r="R20">
        <v>396</v>
      </c>
      <c r="S20">
        <v>741</v>
      </c>
      <c r="T20">
        <v>363</v>
      </c>
      <c r="U20">
        <v>359</v>
      </c>
      <c r="V20">
        <v>351</v>
      </c>
      <c r="W20">
        <v>359</v>
      </c>
      <c r="X20">
        <v>360</v>
      </c>
      <c r="Y20">
        <v>359</v>
      </c>
      <c r="Z20">
        <v>357</v>
      </c>
      <c r="AA20">
        <v>364</v>
      </c>
      <c r="AB20">
        <v>373</v>
      </c>
      <c r="AC20">
        <v>362</v>
      </c>
      <c r="AD20">
        <v>373</v>
      </c>
    </row>
    <row r="21" spans="3:30" x14ac:dyDescent="0.25">
      <c r="C21">
        <v>35</v>
      </c>
      <c r="D21">
        <v>0</v>
      </c>
      <c r="E21">
        <v>424</v>
      </c>
      <c r="F21">
        <v>395</v>
      </c>
      <c r="G21">
        <v>405</v>
      </c>
      <c r="H21">
        <v>390</v>
      </c>
      <c r="I21">
        <v>389</v>
      </c>
      <c r="J21">
        <v>396</v>
      </c>
      <c r="K21">
        <v>433</v>
      </c>
      <c r="L21">
        <v>370</v>
      </c>
      <c r="M21">
        <v>383</v>
      </c>
      <c r="N21">
        <v>374</v>
      </c>
      <c r="O21">
        <v>403</v>
      </c>
      <c r="P21">
        <v>390</v>
      </c>
      <c r="Q21">
        <v>371</v>
      </c>
      <c r="R21">
        <v>372</v>
      </c>
      <c r="S21">
        <v>392</v>
      </c>
      <c r="T21">
        <v>730</v>
      </c>
      <c r="U21">
        <v>360</v>
      </c>
      <c r="V21">
        <v>354</v>
      </c>
      <c r="W21">
        <v>348</v>
      </c>
      <c r="X21">
        <v>353</v>
      </c>
      <c r="Y21">
        <v>356</v>
      </c>
      <c r="Z21">
        <v>357</v>
      </c>
      <c r="AA21">
        <v>355</v>
      </c>
      <c r="AB21">
        <v>360</v>
      </c>
      <c r="AC21">
        <v>365</v>
      </c>
      <c r="AD21">
        <v>358</v>
      </c>
    </row>
    <row r="22" spans="3:30" x14ac:dyDescent="0.25">
      <c r="C22">
        <v>36</v>
      </c>
      <c r="D22">
        <v>0</v>
      </c>
      <c r="E22">
        <v>356</v>
      </c>
      <c r="F22">
        <v>424</v>
      </c>
      <c r="G22">
        <v>394</v>
      </c>
      <c r="H22">
        <v>397</v>
      </c>
      <c r="I22">
        <v>388</v>
      </c>
      <c r="J22">
        <v>385</v>
      </c>
      <c r="K22">
        <v>392</v>
      </c>
      <c r="L22">
        <v>429</v>
      </c>
      <c r="M22">
        <v>365</v>
      </c>
      <c r="N22">
        <v>378</v>
      </c>
      <c r="O22">
        <v>369</v>
      </c>
      <c r="P22">
        <v>395</v>
      </c>
      <c r="Q22">
        <v>388</v>
      </c>
      <c r="R22">
        <v>367</v>
      </c>
      <c r="S22">
        <v>366</v>
      </c>
      <c r="T22">
        <v>389</v>
      </c>
      <c r="U22">
        <v>719</v>
      </c>
      <c r="V22">
        <v>356</v>
      </c>
      <c r="W22">
        <v>353</v>
      </c>
      <c r="X22">
        <v>347</v>
      </c>
      <c r="Y22">
        <v>352</v>
      </c>
      <c r="Z22">
        <v>353</v>
      </c>
      <c r="AA22">
        <v>351</v>
      </c>
      <c r="AB22">
        <v>351</v>
      </c>
      <c r="AC22">
        <v>356</v>
      </c>
      <c r="AD22">
        <v>359</v>
      </c>
    </row>
    <row r="23" spans="3:30" x14ac:dyDescent="0.25">
      <c r="C23">
        <v>37</v>
      </c>
      <c r="D23">
        <v>0</v>
      </c>
      <c r="E23">
        <v>364</v>
      </c>
      <c r="F23">
        <v>356</v>
      </c>
      <c r="G23">
        <v>421</v>
      </c>
      <c r="H23">
        <v>392</v>
      </c>
      <c r="I23">
        <v>389</v>
      </c>
      <c r="J23">
        <v>386</v>
      </c>
      <c r="K23">
        <v>382</v>
      </c>
      <c r="L23">
        <v>387</v>
      </c>
      <c r="M23">
        <v>426</v>
      </c>
      <c r="N23">
        <v>362</v>
      </c>
      <c r="O23">
        <v>372</v>
      </c>
      <c r="P23">
        <v>363</v>
      </c>
      <c r="Q23">
        <v>394</v>
      </c>
      <c r="R23">
        <v>386</v>
      </c>
      <c r="S23">
        <v>361</v>
      </c>
      <c r="T23">
        <v>361</v>
      </c>
      <c r="U23">
        <v>386</v>
      </c>
      <c r="V23">
        <v>713</v>
      </c>
      <c r="W23">
        <v>355</v>
      </c>
      <c r="X23">
        <v>351</v>
      </c>
      <c r="Y23">
        <v>345</v>
      </c>
      <c r="Z23">
        <v>349</v>
      </c>
      <c r="AA23">
        <v>351</v>
      </c>
      <c r="AB23">
        <v>346</v>
      </c>
      <c r="AC23">
        <v>350</v>
      </c>
      <c r="AD23">
        <v>353</v>
      </c>
    </row>
    <row r="24" spans="3:30" x14ac:dyDescent="0.25">
      <c r="C24">
        <v>38</v>
      </c>
      <c r="D24">
        <v>0</v>
      </c>
      <c r="E24">
        <v>435</v>
      </c>
      <c r="F24">
        <v>364</v>
      </c>
      <c r="G24">
        <v>353</v>
      </c>
      <c r="H24">
        <v>417</v>
      </c>
      <c r="I24">
        <v>388</v>
      </c>
      <c r="J24">
        <v>384</v>
      </c>
      <c r="K24">
        <v>379</v>
      </c>
      <c r="L24">
        <v>377</v>
      </c>
      <c r="M24">
        <v>381</v>
      </c>
      <c r="N24">
        <v>424</v>
      </c>
      <c r="O24">
        <v>356</v>
      </c>
      <c r="P24">
        <v>368</v>
      </c>
      <c r="Q24">
        <v>361</v>
      </c>
      <c r="R24">
        <v>390</v>
      </c>
      <c r="S24">
        <v>380</v>
      </c>
      <c r="T24">
        <v>357</v>
      </c>
      <c r="U24">
        <v>355</v>
      </c>
      <c r="V24">
        <v>380</v>
      </c>
      <c r="W24">
        <v>705</v>
      </c>
      <c r="X24">
        <v>352</v>
      </c>
      <c r="Y24">
        <v>346</v>
      </c>
      <c r="Z24">
        <v>341</v>
      </c>
      <c r="AA24">
        <v>346</v>
      </c>
      <c r="AB24">
        <v>347</v>
      </c>
      <c r="AC24">
        <v>341</v>
      </c>
      <c r="AD24">
        <v>346</v>
      </c>
    </row>
    <row r="25" spans="3:30" x14ac:dyDescent="0.25">
      <c r="C25">
        <v>39</v>
      </c>
      <c r="D25">
        <v>0</v>
      </c>
      <c r="E25">
        <v>362</v>
      </c>
      <c r="F25">
        <v>435</v>
      </c>
      <c r="G25">
        <v>362</v>
      </c>
      <c r="H25">
        <v>352</v>
      </c>
      <c r="I25">
        <v>415</v>
      </c>
      <c r="J25">
        <v>384</v>
      </c>
      <c r="K25">
        <v>380</v>
      </c>
      <c r="L25">
        <v>375</v>
      </c>
      <c r="M25">
        <v>370</v>
      </c>
      <c r="N25">
        <v>375</v>
      </c>
      <c r="O25">
        <v>418</v>
      </c>
      <c r="P25">
        <v>349</v>
      </c>
      <c r="Q25">
        <v>364</v>
      </c>
      <c r="R25">
        <v>360</v>
      </c>
      <c r="S25">
        <v>385</v>
      </c>
      <c r="T25">
        <v>377</v>
      </c>
      <c r="U25">
        <v>354</v>
      </c>
      <c r="V25">
        <v>352</v>
      </c>
      <c r="W25">
        <v>378</v>
      </c>
      <c r="X25">
        <v>697</v>
      </c>
      <c r="Y25">
        <v>348</v>
      </c>
      <c r="Z25">
        <v>341</v>
      </c>
      <c r="AA25">
        <v>336</v>
      </c>
      <c r="AB25">
        <v>343</v>
      </c>
      <c r="AC25">
        <v>337</v>
      </c>
      <c r="AD25">
        <v>337</v>
      </c>
    </row>
    <row r="26" spans="3:30" x14ac:dyDescent="0.25">
      <c r="C26">
        <v>40</v>
      </c>
      <c r="D26">
        <v>0</v>
      </c>
      <c r="E26">
        <v>385</v>
      </c>
      <c r="F26">
        <v>362</v>
      </c>
      <c r="G26">
        <v>431</v>
      </c>
      <c r="H26">
        <v>356</v>
      </c>
      <c r="I26">
        <v>349</v>
      </c>
      <c r="J26">
        <v>411</v>
      </c>
      <c r="K26">
        <v>379</v>
      </c>
      <c r="L26">
        <v>376</v>
      </c>
      <c r="M26">
        <v>371</v>
      </c>
      <c r="N26">
        <v>363</v>
      </c>
      <c r="O26">
        <v>370</v>
      </c>
      <c r="P26">
        <v>413</v>
      </c>
      <c r="Q26">
        <v>346</v>
      </c>
      <c r="R26">
        <v>358</v>
      </c>
      <c r="S26">
        <v>356</v>
      </c>
      <c r="T26">
        <v>383</v>
      </c>
      <c r="U26">
        <v>371</v>
      </c>
      <c r="V26">
        <v>348</v>
      </c>
      <c r="W26">
        <v>350</v>
      </c>
      <c r="X26">
        <v>371</v>
      </c>
      <c r="Y26">
        <v>687</v>
      </c>
      <c r="Z26">
        <v>345</v>
      </c>
      <c r="AA26">
        <v>339</v>
      </c>
      <c r="AB26">
        <v>329</v>
      </c>
      <c r="AC26">
        <v>338</v>
      </c>
      <c r="AD26">
        <v>332</v>
      </c>
    </row>
    <row r="27" spans="3:30" x14ac:dyDescent="0.25">
      <c r="C27">
        <v>41</v>
      </c>
      <c r="D27">
        <v>0</v>
      </c>
      <c r="E27">
        <v>410</v>
      </c>
      <c r="F27">
        <v>385</v>
      </c>
      <c r="G27">
        <v>359</v>
      </c>
      <c r="H27">
        <v>425</v>
      </c>
      <c r="I27">
        <v>354</v>
      </c>
      <c r="J27">
        <v>347</v>
      </c>
      <c r="K27">
        <v>405</v>
      </c>
      <c r="L27">
        <v>369</v>
      </c>
      <c r="M27">
        <v>371</v>
      </c>
      <c r="N27">
        <v>367</v>
      </c>
      <c r="O27">
        <v>354</v>
      </c>
      <c r="P27">
        <v>365</v>
      </c>
      <c r="Q27">
        <v>406</v>
      </c>
      <c r="R27">
        <v>341</v>
      </c>
      <c r="S27">
        <v>355</v>
      </c>
      <c r="T27">
        <v>354</v>
      </c>
      <c r="U27">
        <v>377</v>
      </c>
      <c r="V27">
        <v>366</v>
      </c>
      <c r="W27">
        <v>343</v>
      </c>
      <c r="X27">
        <v>345</v>
      </c>
      <c r="Y27">
        <v>369</v>
      </c>
      <c r="Z27">
        <v>677</v>
      </c>
      <c r="AA27">
        <v>343</v>
      </c>
      <c r="AB27">
        <v>330</v>
      </c>
      <c r="AC27">
        <v>327</v>
      </c>
      <c r="AD27">
        <v>334</v>
      </c>
    </row>
    <row r="28" spans="3:30" x14ac:dyDescent="0.25">
      <c r="C28">
        <v>42</v>
      </c>
      <c r="D28">
        <v>0</v>
      </c>
      <c r="E28">
        <v>416</v>
      </c>
      <c r="F28">
        <v>410</v>
      </c>
      <c r="G28">
        <v>383</v>
      </c>
      <c r="H28">
        <v>356</v>
      </c>
      <c r="I28">
        <v>418</v>
      </c>
      <c r="J28">
        <v>349</v>
      </c>
      <c r="K28">
        <v>344</v>
      </c>
      <c r="L28">
        <v>402</v>
      </c>
      <c r="M28">
        <v>362</v>
      </c>
      <c r="N28">
        <v>368</v>
      </c>
      <c r="O28">
        <v>364</v>
      </c>
      <c r="P28">
        <v>353</v>
      </c>
      <c r="Q28">
        <v>363</v>
      </c>
      <c r="R28">
        <v>403</v>
      </c>
      <c r="S28">
        <v>337</v>
      </c>
      <c r="T28">
        <v>348</v>
      </c>
      <c r="U28">
        <v>347</v>
      </c>
      <c r="V28">
        <v>370</v>
      </c>
      <c r="W28">
        <v>362</v>
      </c>
      <c r="X28">
        <v>337</v>
      </c>
      <c r="Y28">
        <v>343</v>
      </c>
      <c r="Z28">
        <v>364</v>
      </c>
      <c r="AA28">
        <v>670</v>
      </c>
      <c r="AB28">
        <v>338</v>
      </c>
      <c r="AC28">
        <v>327</v>
      </c>
      <c r="AD28">
        <v>322</v>
      </c>
    </row>
    <row r="29" spans="3:30" x14ac:dyDescent="0.25">
      <c r="C29">
        <v>43</v>
      </c>
      <c r="D29">
        <v>0</v>
      </c>
      <c r="E29">
        <v>437</v>
      </c>
      <c r="F29">
        <v>416</v>
      </c>
      <c r="G29">
        <v>408</v>
      </c>
      <c r="H29">
        <v>381</v>
      </c>
      <c r="I29">
        <v>352</v>
      </c>
      <c r="J29">
        <v>412</v>
      </c>
      <c r="K29">
        <v>347</v>
      </c>
      <c r="L29">
        <v>338</v>
      </c>
      <c r="M29">
        <v>399</v>
      </c>
      <c r="N29">
        <v>358</v>
      </c>
      <c r="O29">
        <v>363</v>
      </c>
      <c r="P29">
        <v>360</v>
      </c>
      <c r="Q29">
        <v>347</v>
      </c>
      <c r="R29">
        <v>358</v>
      </c>
      <c r="S29">
        <v>397</v>
      </c>
      <c r="T29">
        <v>333</v>
      </c>
      <c r="U29">
        <v>343</v>
      </c>
      <c r="V29">
        <v>337</v>
      </c>
      <c r="W29">
        <v>366</v>
      </c>
      <c r="X29">
        <v>358</v>
      </c>
      <c r="Y29">
        <v>332</v>
      </c>
      <c r="Z29">
        <v>341</v>
      </c>
      <c r="AA29">
        <v>363</v>
      </c>
      <c r="AB29">
        <v>665</v>
      </c>
      <c r="AC29">
        <v>335</v>
      </c>
      <c r="AD29">
        <v>323</v>
      </c>
    </row>
    <row r="30" spans="3:30" x14ac:dyDescent="0.25">
      <c r="C30">
        <v>44</v>
      </c>
      <c r="D30">
        <v>0</v>
      </c>
      <c r="E30">
        <v>409</v>
      </c>
      <c r="F30">
        <v>437</v>
      </c>
      <c r="G30">
        <v>414</v>
      </c>
      <c r="H30">
        <v>399</v>
      </c>
      <c r="I30">
        <v>378</v>
      </c>
      <c r="J30">
        <v>347</v>
      </c>
      <c r="K30">
        <v>408</v>
      </c>
      <c r="L30">
        <v>345</v>
      </c>
      <c r="M30">
        <v>333</v>
      </c>
      <c r="N30">
        <v>394</v>
      </c>
      <c r="O30">
        <v>352</v>
      </c>
      <c r="P30">
        <v>359</v>
      </c>
      <c r="Q30">
        <v>352</v>
      </c>
      <c r="R30">
        <v>344</v>
      </c>
      <c r="S30">
        <v>355</v>
      </c>
      <c r="T30">
        <v>394</v>
      </c>
      <c r="U30">
        <v>330</v>
      </c>
      <c r="V30">
        <v>337</v>
      </c>
      <c r="W30">
        <v>331</v>
      </c>
      <c r="X30">
        <v>362</v>
      </c>
      <c r="Y30">
        <v>351</v>
      </c>
      <c r="Z30">
        <v>323</v>
      </c>
      <c r="AA30">
        <v>336</v>
      </c>
      <c r="AB30">
        <v>355</v>
      </c>
      <c r="AC30">
        <v>657</v>
      </c>
      <c r="AD30">
        <v>331</v>
      </c>
    </row>
    <row r="31" spans="3:30" x14ac:dyDescent="0.25">
      <c r="C31">
        <v>45</v>
      </c>
      <c r="D31">
        <v>0</v>
      </c>
      <c r="E31">
        <v>433</v>
      </c>
      <c r="F31">
        <v>409</v>
      </c>
      <c r="G31">
        <v>435</v>
      </c>
      <c r="H31">
        <v>409</v>
      </c>
      <c r="I31">
        <v>395</v>
      </c>
      <c r="J31">
        <v>374</v>
      </c>
      <c r="K31">
        <v>343</v>
      </c>
      <c r="L31">
        <v>403</v>
      </c>
      <c r="M31">
        <v>340</v>
      </c>
      <c r="N31">
        <v>328</v>
      </c>
      <c r="O31">
        <v>391</v>
      </c>
      <c r="P31">
        <v>348</v>
      </c>
      <c r="Q31">
        <v>356</v>
      </c>
      <c r="R31">
        <v>344</v>
      </c>
      <c r="S31">
        <v>340</v>
      </c>
      <c r="T31">
        <v>346</v>
      </c>
      <c r="U31">
        <v>393</v>
      </c>
      <c r="V31">
        <v>324</v>
      </c>
      <c r="W31">
        <v>334</v>
      </c>
      <c r="X31">
        <v>329</v>
      </c>
      <c r="Y31">
        <v>360</v>
      </c>
      <c r="Z31">
        <v>347</v>
      </c>
      <c r="AA31">
        <v>319</v>
      </c>
      <c r="AB31">
        <v>326</v>
      </c>
      <c r="AC31">
        <v>350</v>
      </c>
      <c r="AD31">
        <v>646</v>
      </c>
    </row>
    <row r="32" spans="3:30" x14ac:dyDescent="0.25">
      <c r="C32">
        <v>46</v>
      </c>
      <c r="D32">
        <v>0</v>
      </c>
      <c r="E32">
        <v>425</v>
      </c>
      <c r="F32">
        <v>433</v>
      </c>
      <c r="G32">
        <v>404</v>
      </c>
      <c r="H32">
        <v>430</v>
      </c>
      <c r="I32">
        <v>404</v>
      </c>
      <c r="J32">
        <v>390</v>
      </c>
      <c r="K32">
        <v>370</v>
      </c>
      <c r="L32">
        <v>340</v>
      </c>
      <c r="M32">
        <v>399</v>
      </c>
      <c r="N32">
        <v>336</v>
      </c>
      <c r="O32">
        <v>322</v>
      </c>
      <c r="P32">
        <v>380</v>
      </c>
      <c r="Q32">
        <v>346</v>
      </c>
      <c r="R32">
        <v>354</v>
      </c>
      <c r="S32">
        <v>341</v>
      </c>
      <c r="T32">
        <v>336</v>
      </c>
      <c r="U32">
        <v>342</v>
      </c>
      <c r="V32">
        <v>391</v>
      </c>
      <c r="W32">
        <v>319</v>
      </c>
      <c r="X32">
        <v>330</v>
      </c>
      <c r="Y32">
        <v>323</v>
      </c>
      <c r="Z32">
        <v>359</v>
      </c>
      <c r="AA32">
        <v>341</v>
      </c>
      <c r="AB32">
        <v>314</v>
      </c>
      <c r="AC32">
        <v>322</v>
      </c>
      <c r="AD32">
        <v>345</v>
      </c>
    </row>
    <row r="33" spans="3:30" x14ac:dyDescent="0.25">
      <c r="C33">
        <v>47</v>
      </c>
      <c r="D33">
        <v>0</v>
      </c>
      <c r="E33">
        <v>440</v>
      </c>
      <c r="F33">
        <v>425</v>
      </c>
      <c r="G33">
        <v>428</v>
      </c>
      <c r="H33">
        <v>403</v>
      </c>
      <c r="I33">
        <v>429</v>
      </c>
      <c r="J33">
        <v>400</v>
      </c>
      <c r="K33">
        <v>386</v>
      </c>
      <c r="L33">
        <v>364</v>
      </c>
      <c r="M33">
        <v>337</v>
      </c>
      <c r="N33">
        <v>396</v>
      </c>
      <c r="O33">
        <v>332</v>
      </c>
      <c r="P33">
        <v>319</v>
      </c>
      <c r="Q33">
        <v>375</v>
      </c>
      <c r="R33">
        <v>342</v>
      </c>
      <c r="S33">
        <v>351</v>
      </c>
      <c r="T33">
        <v>334</v>
      </c>
      <c r="U33">
        <v>331</v>
      </c>
      <c r="V33">
        <v>336</v>
      </c>
      <c r="W33">
        <v>388</v>
      </c>
      <c r="X33">
        <v>317</v>
      </c>
      <c r="Y33">
        <v>328</v>
      </c>
      <c r="Z33">
        <v>320</v>
      </c>
      <c r="AA33">
        <v>353</v>
      </c>
      <c r="AB33">
        <v>335</v>
      </c>
      <c r="AC33">
        <v>310</v>
      </c>
      <c r="AD33">
        <v>317</v>
      </c>
    </row>
    <row r="34" spans="3:30" x14ac:dyDescent="0.25">
      <c r="C34">
        <v>48</v>
      </c>
      <c r="D34">
        <v>0</v>
      </c>
      <c r="E34">
        <v>454</v>
      </c>
      <c r="F34">
        <v>440</v>
      </c>
      <c r="G34">
        <v>423</v>
      </c>
      <c r="H34">
        <v>423</v>
      </c>
      <c r="I34">
        <v>398</v>
      </c>
      <c r="J34">
        <v>422</v>
      </c>
      <c r="K34">
        <v>392</v>
      </c>
      <c r="L34">
        <v>383</v>
      </c>
      <c r="M34">
        <v>360</v>
      </c>
      <c r="N34">
        <v>333</v>
      </c>
      <c r="O34">
        <v>393</v>
      </c>
      <c r="P34">
        <v>327</v>
      </c>
      <c r="Q34">
        <v>318</v>
      </c>
      <c r="R34">
        <v>373</v>
      </c>
      <c r="S34">
        <v>335</v>
      </c>
      <c r="T34">
        <v>345</v>
      </c>
      <c r="U34">
        <v>330</v>
      </c>
      <c r="V34">
        <v>328</v>
      </c>
      <c r="W34">
        <v>335</v>
      </c>
      <c r="X34">
        <v>380</v>
      </c>
      <c r="Y34">
        <v>315</v>
      </c>
      <c r="Z34">
        <v>325</v>
      </c>
      <c r="AA34">
        <v>316</v>
      </c>
      <c r="AB34">
        <v>349</v>
      </c>
      <c r="AC34">
        <v>330</v>
      </c>
      <c r="AD34">
        <v>309</v>
      </c>
    </row>
    <row r="35" spans="3:30" x14ac:dyDescent="0.25">
      <c r="C35">
        <v>49</v>
      </c>
      <c r="D35">
        <v>0</v>
      </c>
      <c r="E35">
        <v>445</v>
      </c>
      <c r="F35">
        <v>454</v>
      </c>
      <c r="G35">
        <v>435</v>
      </c>
      <c r="H35">
        <v>419</v>
      </c>
      <c r="I35">
        <v>415</v>
      </c>
      <c r="J35">
        <v>396</v>
      </c>
      <c r="K35">
        <v>418</v>
      </c>
      <c r="L35">
        <v>388</v>
      </c>
      <c r="M35">
        <v>382</v>
      </c>
      <c r="N35">
        <v>355</v>
      </c>
      <c r="O35">
        <v>329</v>
      </c>
      <c r="P35">
        <v>387</v>
      </c>
      <c r="Q35">
        <v>322</v>
      </c>
      <c r="R35">
        <v>313</v>
      </c>
      <c r="S35">
        <v>367</v>
      </c>
      <c r="T35">
        <v>335</v>
      </c>
      <c r="U35">
        <v>342</v>
      </c>
      <c r="V35">
        <v>329</v>
      </c>
      <c r="W35">
        <v>325</v>
      </c>
      <c r="X35">
        <v>333</v>
      </c>
      <c r="Y35">
        <v>370</v>
      </c>
      <c r="Z35">
        <v>308</v>
      </c>
      <c r="AA35">
        <v>322</v>
      </c>
      <c r="AB35">
        <v>311</v>
      </c>
      <c r="AC35">
        <v>342</v>
      </c>
      <c r="AD35">
        <v>325</v>
      </c>
    </row>
    <row r="36" spans="3:30" x14ac:dyDescent="0.25">
      <c r="C36">
        <v>50</v>
      </c>
      <c r="D36">
        <v>0</v>
      </c>
      <c r="E36">
        <v>425</v>
      </c>
      <c r="F36">
        <v>445</v>
      </c>
      <c r="G36">
        <v>444</v>
      </c>
      <c r="H36">
        <v>431</v>
      </c>
      <c r="I36">
        <v>415</v>
      </c>
      <c r="J36">
        <v>406</v>
      </c>
      <c r="K36">
        <v>393</v>
      </c>
      <c r="L36">
        <v>413</v>
      </c>
      <c r="M36">
        <v>385</v>
      </c>
      <c r="N36">
        <v>379</v>
      </c>
      <c r="O36">
        <v>350</v>
      </c>
      <c r="P36">
        <v>324</v>
      </c>
      <c r="Q36">
        <v>380</v>
      </c>
      <c r="R36">
        <v>319</v>
      </c>
      <c r="S36">
        <v>309</v>
      </c>
      <c r="T36">
        <v>362</v>
      </c>
      <c r="U36">
        <v>332</v>
      </c>
      <c r="V36">
        <v>337</v>
      </c>
      <c r="W36">
        <v>326</v>
      </c>
      <c r="X36">
        <v>322</v>
      </c>
      <c r="Y36">
        <v>326</v>
      </c>
      <c r="Z36">
        <v>364</v>
      </c>
      <c r="AA36">
        <v>298</v>
      </c>
      <c r="AB36">
        <v>315</v>
      </c>
      <c r="AC36">
        <v>304</v>
      </c>
      <c r="AD36">
        <v>340</v>
      </c>
    </row>
    <row r="37" spans="3:30" x14ac:dyDescent="0.25">
      <c r="C37">
        <v>51</v>
      </c>
      <c r="D37">
        <v>0</v>
      </c>
      <c r="E37">
        <v>477</v>
      </c>
      <c r="F37">
        <v>425</v>
      </c>
      <c r="G37">
        <v>438</v>
      </c>
      <c r="H37">
        <v>442</v>
      </c>
      <c r="I37">
        <v>423</v>
      </c>
      <c r="J37">
        <v>410</v>
      </c>
      <c r="K37">
        <v>403</v>
      </c>
      <c r="L37">
        <v>390</v>
      </c>
      <c r="M37">
        <v>412</v>
      </c>
      <c r="N37">
        <v>380</v>
      </c>
      <c r="O37">
        <v>376</v>
      </c>
      <c r="P37">
        <v>349</v>
      </c>
      <c r="Q37">
        <v>319</v>
      </c>
      <c r="R37">
        <v>369</v>
      </c>
      <c r="S37">
        <v>317</v>
      </c>
      <c r="T37">
        <v>304</v>
      </c>
      <c r="U37">
        <v>360</v>
      </c>
      <c r="V37">
        <v>329</v>
      </c>
      <c r="W37">
        <v>332</v>
      </c>
      <c r="X37">
        <v>325</v>
      </c>
      <c r="Y37">
        <v>318</v>
      </c>
      <c r="Z37">
        <v>320</v>
      </c>
      <c r="AA37">
        <v>359</v>
      </c>
      <c r="AB37">
        <v>293</v>
      </c>
      <c r="AC37">
        <v>312</v>
      </c>
      <c r="AD37">
        <v>299</v>
      </c>
    </row>
    <row r="38" spans="3:30" x14ac:dyDescent="0.25">
      <c r="C38">
        <v>52</v>
      </c>
      <c r="D38">
        <v>0</v>
      </c>
      <c r="E38">
        <v>461</v>
      </c>
      <c r="F38">
        <v>477</v>
      </c>
      <c r="G38">
        <v>421</v>
      </c>
      <c r="H38">
        <v>429</v>
      </c>
      <c r="I38">
        <v>437</v>
      </c>
      <c r="J38">
        <v>416</v>
      </c>
      <c r="K38">
        <v>404</v>
      </c>
      <c r="L38">
        <v>398</v>
      </c>
      <c r="M38">
        <v>384</v>
      </c>
      <c r="N38">
        <v>404</v>
      </c>
      <c r="O38">
        <v>377</v>
      </c>
      <c r="P38">
        <v>371</v>
      </c>
      <c r="Q38">
        <v>348</v>
      </c>
      <c r="R38">
        <v>315</v>
      </c>
      <c r="S38">
        <v>366</v>
      </c>
      <c r="T38">
        <v>315</v>
      </c>
      <c r="U38">
        <v>300</v>
      </c>
      <c r="V38">
        <v>358</v>
      </c>
      <c r="W38">
        <v>325</v>
      </c>
      <c r="X38">
        <v>330</v>
      </c>
      <c r="Y38">
        <v>319</v>
      </c>
      <c r="Z38">
        <v>314</v>
      </c>
      <c r="AA38">
        <v>316</v>
      </c>
      <c r="AB38">
        <v>354</v>
      </c>
      <c r="AC38">
        <v>287</v>
      </c>
      <c r="AD38">
        <v>306</v>
      </c>
    </row>
    <row r="39" spans="3:30" x14ac:dyDescent="0.25">
      <c r="C39">
        <v>53</v>
      </c>
      <c r="D39">
        <v>0</v>
      </c>
      <c r="E39">
        <v>451</v>
      </c>
      <c r="F39">
        <v>461</v>
      </c>
      <c r="G39">
        <v>470</v>
      </c>
      <c r="H39">
        <v>416</v>
      </c>
      <c r="I39">
        <v>422</v>
      </c>
      <c r="J39">
        <v>433</v>
      </c>
      <c r="K39">
        <v>413</v>
      </c>
      <c r="L39">
        <v>400</v>
      </c>
      <c r="M39">
        <v>393</v>
      </c>
      <c r="N39">
        <v>380</v>
      </c>
      <c r="O39">
        <v>401</v>
      </c>
      <c r="P39">
        <v>374</v>
      </c>
      <c r="Q39">
        <v>367</v>
      </c>
      <c r="R39">
        <v>347</v>
      </c>
      <c r="S39">
        <v>311</v>
      </c>
      <c r="T39">
        <v>364</v>
      </c>
      <c r="U39">
        <v>310</v>
      </c>
      <c r="V39">
        <v>295</v>
      </c>
      <c r="W39">
        <v>355</v>
      </c>
      <c r="X39">
        <v>324</v>
      </c>
      <c r="Y39">
        <v>323</v>
      </c>
      <c r="Z39">
        <v>318</v>
      </c>
      <c r="AA39">
        <v>313</v>
      </c>
      <c r="AB39">
        <v>310</v>
      </c>
      <c r="AC39">
        <v>350</v>
      </c>
      <c r="AD39">
        <v>285</v>
      </c>
    </row>
    <row r="40" spans="3:30" x14ac:dyDescent="0.25">
      <c r="C40">
        <v>54</v>
      </c>
      <c r="D40">
        <v>0</v>
      </c>
      <c r="E40">
        <v>458</v>
      </c>
      <c r="F40">
        <v>451</v>
      </c>
      <c r="G40">
        <v>454</v>
      </c>
      <c r="H40">
        <v>466</v>
      </c>
      <c r="I40">
        <v>404</v>
      </c>
      <c r="J40">
        <v>417</v>
      </c>
      <c r="K40">
        <v>426</v>
      </c>
      <c r="L40">
        <v>409</v>
      </c>
      <c r="M40">
        <v>396</v>
      </c>
      <c r="N40">
        <v>390</v>
      </c>
      <c r="O40">
        <v>377</v>
      </c>
      <c r="P40">
        <v>391</v>
      </c>
      <c r="Q40">
        <v>367</v>
      </c>
      <c r="R40">
        <v>363</v>
      </c>
      <c r="S40">
        <v>342</v>
      </c>
      <c r="T40">
        <v>309</v>
      </c>
      <c r="U40">
        <v>360</v>
      </c>
      <c r="V40">
        <v>308</v>
      </c>
      <c r="W40">
        <v>289</v>
      </c>
      <c r="X40">
        <v>352</v>
      </c>
      <c r="Y40">
        <v>318</v>
      </c>
      <c r="Z40">
        <v>321</v>
      </c>
      <c r="AA40">
        <v>313</v>
      </c>
      <c r="AB40">
        <v>307</v>
      </c>
      <c r="AC40">
        <v>304</v>
      </c>
      <c r="AD40">
        <v>341</v>
      </c>
    </row>
    <row r="41" spans="3:30" x14ac:dyDescent="0.25">
      <c r="C41">
        <v>55</v>
      </c>
      <c r="D41">
        <v>0</v>
      </c>
      <c r="E41">
        <v>376</v>
      </c>
      <c r="F41">
        <v>458</v>
      </c>
      <c r="G41">
        <v>445</v>
      </c>
      <c r="H41">
        <v>446</v>
      </c>
      <c r="I41">
        <v>460</v>
      </c>
      <c r="J41">
        <v>400</v>
      </c>
      <c r="K41">
        <v>410</v>
      </c>
      <c r="L41">
        <v>423</v>
      </c>
      <c r="M41">
        <v>406</v>
      </c>
      <c r="N41">
        <v>388</v>
      </c>
      <c r="O41">
        <v>383</v>
      </c>
      <c r="P41">
        <v>375</v>
      </c>
      <c r="Q41">
        <v>387</v>
      </c>
      <c r="R41">
        <v>358</v>
      </c>
      <c r="S41">
        <v>356</v>
      </c>
      <c r="T41">
        <v>339</v>
      </c>
      <c r="U41">
        <v>304</v>
      </c>
      <c r="V41">
        <v>357</v>
      </c>
      <c r="W41">
        <v>305</v>
      </c>
      <c r="X41">
        <v>286</v>
      </c>
      <c r="Y41">
        <v>350</v>
      </c>
      <c r="Z41">
        <v>315</v>
      </c>
      <c r="AA41">
        <v>318</v>
      </c>
      <c r="AB41">
        <v>307</v>
      </c>
      <c r="AC41">
        <v>300</v>
      </c>
      <c r="AD41">
        <v>298</v>
      </c>
    </row>
    <row r="42" spans="3:30" x14ac:dyDescent="0.25">
      <c r="C42">
        <v>56</v>
      </c>
      <c r="D42">
        <v>0</v>
      </c>
      <c r="E42">
        <v>422</v>
      </c>
      <c r="F42">
        <v>376</v>
      </c>
      <c r="G42">
        <v>455</v>
      </c>
      <c r="H42">
        <v>440</v>
      </c>
      <c r="I42">
        <v>441</v>
      </c>
      <c r="J42">
        <v>455</v>
      </c>
      <c r="K42">
        <v>395</v>
      </c>
      <c r="L42">
        <v>406</v>
      </c>
      <c r="M42">
        <v>418</v>
      </c>
      <c r="N42">
        <v>398</v>
      </c>
      <c r="O42">
        <v>381</v>
      </c>
      <c r="P42">
        <v>380</v>
      </c>
      <c r="Q42">
        <v>371</v>
      </c>
      <c r="R42">
        <v>381</v>
      </c>
      <c r="S42">
        <v>352</v>
      </c>
      <c r="T42">
        <v>354</v>
      </c>
      <c r="U42">
        <v>335</v>
      </c>
      <c r="V42">
        <v>302</v>
      </c>
      <c r="W42">
        <v>354</v>
      </c>
      <c r="X42">
        <v>301</v>
      </c>
      <c r="Y42">
        <v>280</v>
      </c>
      <c r="Z42">
        <v>342</v>
      </c>
      <c r="AA42">
        <v>310</v>
      </c>
      <c r="AB42">
        <v>314</v>
      </c>
      <c r="AC42">
        <v>304</v>
      </c>
      <c r="AD42">
        <v>296</v>
      </c>
    </row>
    <row r="43" spans="3:30" x14ac:dyDescent="0.25">
      <c r="C43">
        <v>57</v>
      </c>
      <c r="D43">
        <v>0</v>
      </c>
      <c r="E43">
        <v>393</v>
      </c>
      <c r="F43">
        <v>422</v>
      </c>
      <c r="G43">
        <v>369</v>
      </c>
      <c r="H43">
        <v>449</v>
      </c>
      <c r="I43">
        <v>436</v>
      </c>
      <c r="J43">
        <v>432</v>
      </c>
      <c r="K43">
        <v>445</v>
      </c>
      <c r="L43">
        <v>389</v>
      </c>
      <c r="M43">
        <v>401</v>
      </c>
      <c r="N43">
        <v>411</v>
      </c>
      <c r="O43">
        <v>393</v>
      </c>
      <c r="P43">
        <v>378</v>
      </c>
      <c r="Q43">
        <v>377</v>
      </c>
      <c r="R43">
        <v>363</v>
      </c>
      <c r="S43">
        <v>381</v>
      </c>
      <c r="T43">
        <v>347</v>
      </c>
      <c r="U43">
        <v>348</v>
      </c>
      <c r="V43">
        <v>330</v>
      </c>
      <c r="W43">
        <v>297</v>
      </c>
      <c r="X43">
        <v>351</v>
      </c>
      <c r="Y43">
        <v>297</v>
      </c>
      <c r="Z43">
        <v>277</v>
      </c>
      <c r="AA43">
        <v>337</v>
      </c>
      <c r="AB43">
        <v>307</v>
      </c>
      <c r="AC43">
        <v>309</v>
      </c>
      <c r="AD43">
        <v>296</v>
      </c>
    </row>
    <row r="44" spans="3:30" x14ac:dyDescent="0.25">
      <c r="C44">
        <v>58</v>
      </c>
      <c r="D44">
        <v>0</v>
      </c>
      <c r="E44">
        <v>398</v>
      </c>
      <c r="F44">
        <v>393</v>
      </c>
      <c r="G44">
        <v>415</v>
      </c>
      <c r="H44">
        <v>364</v>
      </c>
      <c r="I44">
        <v>444</v>
      </c>
      <c r="J44">
        <v>430</v>
      </c>
      <c r="K44">
        <v>426</v>
      </c>
      <c r="L44">
        <v>437</v>
      </c>
      <c r="M44">
        <v>381</v>
      </c>
      <c r="N44">
        <v>396</v>
      </c>
      <c r="O44">
        <v>409</v>
      </c>
      <c r="P44">
        <v>387</v>
      </c>
      <c r="Q44">
        <v>374</v>
      </c>
      <c r="R44">
        <v>374</v>
      </c>
      <c r="S44">
        <v>357</v>
      </c>
      <c r="T44">
        <v>378</v>
      </c>
      <c r="U44">
        <v>341</v>
      </c>
      <c r="V44">
        <v>342</v>
      </c>
      <c r="W44">
        <v>325</v>
      </c>
      <c r="X44">
        <v>294</v>
      </c>
      <c r="Y44">
        <v>345</v>
      </c>
      <c r="Z44">
        <v>293</v>
      </c>
      <c r="AA44">
        <v>274</v>
      </c>
      <c r="AB44">
        <v>334</v>
      </c>
      <c r="AC44">
        <v>302</v>
      </c>
      <c r="AD44">
        <v>307</v>
      </c>
    </row>
    <row r="45" spans="3:30" x14ac:dyDescent="0.25">
      <c r="C45">
        <v>59</v>
      </c>
      <c r="D45">
        <v>0</v>
      </c>
      <c r="E45">
        <v>408</v>
      </c>
      <c r="F45">
        <v>398</v>
      </c>
      <c r="G45">
        <v>386</v>
      </c>
      <c r="H45">
        <v>408</v>
      </c>
      <c r="I45">
        <v>356</v>
      </c>
      <c r="J45">
        <v>440</v>
      </c>
      <c r="K45">
        <v>426</v>
      </c>
      <c r="L45">
        <v>422</v>
      </c>
      <c r="M45">
        <v>430</v>
      </c>
      <c r="N45">
        <v>379</v>
      </c>
      <c r="O45">
        <v>393</v>
      </c>
      <c r="P45">
        <v>402</v>
      </c>
      <c r="Q45">
        <v>384</v>
      </c>
      <c r="R45">
        <v>367</v>
      </c>
      <c r="S45">
        <v>370</v>
      </c>
      <c r="T45">
        <v>351</v>
      </c>
      <c r="U45">
        <v>372</v>
      </c>
      <c r="V45">
        <v>338</v>
      </c>
      <c r="W45">
        <v>337</v>
      </c>
      <c r="X45">
        <v>319</v>
      </c>
      <c r="Y45">
        <v>290</v>
      </c>
      <c r="Z45">
        <v>339</v>
      </c>
      <c r="AA45">
        <v>288</v>
      </c>
      <c r="AB45">
        <v>269</v>
      </c>
      <c r="AC45">
        <v>332</v>
      </c>
      <c r="AD45">
        <v>302</v>
      </c>
    </row>
    <row r="46" spans="3:30" x14ac:dyDescent="0.25">
      <c r="C46">
        <v>60</v>
      </c>
      <c r="D46">
        <v>0</v>
      </c>
      <c r="E46">
        <v>355</v>
      </c>
      <c r="F46">
        <v>408</v>
      </c>
      <c r="G46">
        <v>387</v>
      </c>
      <c r="H46">
        <v>382</v>
      </c>
      <c r="I46">
        <v>404</v>
      </c>
      <c r="J46">
        <v>353</v>
      </c>
      <c r="K46">
        <v>432</v>
      </c>
      <c r="L46">
        <v>418</v>
      </c>
      <c r="M46">
        <v>416</v>
      </c>
      <c r="N46">
        <v>423</v>
      </c>
      <c r="O46">
        <v>372</v>
      </c>
      <c r="P46">
        <v>382</v>
      </c>
      <c r="Q46">
        <v>398</v>
      </c>
      <c r="R46">
        <v>379</v>
      </c>
      <c r="S46">
        <v>366</v>
      </c>
      <c r="T46">
        <v>366</v>
      </c>
      <c r="U46">
        <v>345</v>
      </c>
      <c r="V46">
        <v>367</v>
      </c>
      <c r="W46">
        <v>337</v>
      </c>
      <c r="X46">
        <v>328</v>
      </c>
      <c r="Y46">
        <v>315</v>
      </c>
      <c r="Z46">
        <v>288</v>
      </c>
      <c r="AA46">
        <v>334</v>
      </c>
      <c r="AB46">
        <v>285</v>
      </c>
      <c r="AC46">
        <v>264</v>
      </c>
      <c r="AD46">
        <v>328</v>
      </c>
    </row>
    <row r="47" spans="3:30" x14ac:dyDescent="0.25">
      <c r="C47">
        <v>61</v>
      </c>
      <c r="D47">
        <v>0</v>
      </c>
      <c r="E47">
        <v>324</v>
      </c>
      <c r="F47">
        <v>355</v>
      </c>
      <c r="G47">
        <v>402</v>
      </c>
      <c r="H47">
        <v>382</v>
      </c>
      <c r="I47">
        <v>379</v>
      </c>
      <c r="J47">
        <v>402</v>
      </c>
      <c r="K47">
        <v>348</v>
      </c>
      <c r="L47">
        <v>426</v>
      </c>
      <c r="M47">
        <v>416</v>
      </c>
      <c r="N47">
        <v>412</v>
      </c>
      <c r="O47">
        <v>419</v>
      </c>
      <c r="P47">
        <v>369</v>
      </c>
      <c r="Q47">
        <v>379</v>
      </c>
      <c r="R47">
        <v>386</v>
      </c>
      <c r="S47">
        <v>370</v>
      </c>
      <c r="T47">
        <v>358</v>
      </c>
      <c r="U47">
        <v>362</v>
      </c>
      <c r="V47">
        <v>342</v>
      </c>
      <c r="W47">
        <v>363</v>
      </c>
      <c r="X47">
        <v>335</v>
      </c>
      <c r="Y47">
        <v>325</v>
      </c>
      <c r="Z47">
        <v>308</v>
      </c>
      <c r="AA47">
        <v>287</v>
      </c>
      <c r="AB47">
        <v>326</v>
      </c>
      <c r="AC47">
        <v>280</v>
      </c>
      <c r="AD47">
        <v>257</v>
      </c>
    </row>
    <row r="48" spans="3:30" x14ac:dyDescent="0.25">
      <c r="C48">
        <v>62</v>
      </c>
      <c r="D48">
        <v>0</v>
      </c>
      <c r="E48">
        <v>341</v>
      </c>
      <c r="F48">
        <v>324</v>
      </c>
      <c r="G48">
        <v>347</v>
      </c>
      <c r="H48">
        <v>396</v>
      </c>
      <c r="I48">
        <v>377</v>
      </c>
      <c r="J48">
        <v>368</v>
      </c>
      <c r="K48">
        <v>396</v>
      </c>
      <c r="L48">
        <v>346</v>
      </c>
      <c r="M48">
        <v>422</v>
      </c>
      <c r="N48">
        <v>410</v>
      </c>
      <c r="O48">
        <v>408</v>
      </c>
      <c r="P48">
        <v>413</v>
      </c>
      <c r="Q48">
        <v>365</v>
      </c>
      <c r="R48">
        <v>371</v>
      </c>
      <c r="S48">
        <v>379</v>
      </c>
      <c r="T48">
        <v>365</v>
      </c>
      <c r="U48">
        <v>354</v>
      </c>
      <c r="V48">
        <v>358</v>
      </c>
      <c r="W48">
        <v>336</v>
      </c>
      <c r="X48">
        <v>360</v>
      </c>
      <c r="Y48">
        <v>328</v>
      </c>
      <c r="Z48">
        <v>318</v>
      </c>
      <c r="AA48">
        <v>302</v>
      </c>
      <c r="AB48">
        <v>282</v>
      </c>
      <c r="AC48">
        <v>322</v>
      </c>
      <c r="AD48">
        <v>276</v>
      </c>
    </row>
    <row r="49" spans="3:30" x14ac:dyDescent="0.25">
      <c r="C49">
        <v>63</v>
      </c>
      <c r="D49">
        <v>0</v>
      </c>
      <c r="E49">
        <v>310</v>
      </c>
      <c r="F49">
        <v>341</v>
      </c>
      <c r="G49">
        <v>320</v>
      </c>
      <c r="H49">
        <v>341</v>
      </c>
      <c r="I49">
        <v>389</v>
      </c>
      <c r="J49">
        <v>372</v>
      </c>
      <c r="K49">
        <v>361</v>
      </c>
      <c r="L49">
        <v>388</v>
      </c>
      <c r="M49">
        <v>344</v>
      </c>
      <c r="N49">
        <v>415</v>
      </c>
      <c r="O49">
        <v>400</v>
      </c>
      <c r="P49">
        <v>403</v>
      </c>
      <c r="Q49">
        <v>402</v>
      </c>
      <c r="R49">
        <v>360</v>
      </c>
      <c r="S49">
        <v>367</v>
      </c>
      <c r="T49">
        <v>375</v>
      </c>
      <c r="U49">
        <v>357</v>
      </c>
      <c r="V49">
        <v>346</v>
      </c>
      <c r="W49">
        <v>349</v>
      </c>
      <c r="X49">
        <v>330</v>
      </c>
      <c r="Y49">
        <v>353</v>
      </c>
      <c r="Z49">
        <v>321</v>
      </c>
      <c r="AA49">
        <v>315</v>
      </c>
      <c r="AB49">
        <v>298</v>
      </c>
      <c r="AC49">
        <v>276</v>
      </c>
      <c r="AD49">
        <v>315</v>
      </c>
    </row>
    <row r="50" spans="3:30" x14ac:dyDescent="0.25">
      <c r="C50">
        <v>64</v>
      </c>
      <c r="D50">
        <v>0</v>
      </c>
      <c r="E50">
        <v>323</v>
      </c>
      <c r="F50">
        <v>310</v>
      </c>
      <c r="G50">
        <v>337</v>
      </c>
      <c r="H50">
        <v>318</v>
      </c>
      <c r="I50">
        <v>335</v>
      </c>
      <c r="J50">
        <v>386</v>
      </c>
      <c r="K50">
        <v>368</v>
      </c>
      <c r="L50">
        <v>360</v>
      </c>
      <c r="M50">
        <v>384</v>
      </c>
      <c r="N50">
        <v>338</v>
      </c>
      <c r="O50">
        <v>411</v>
      </c>
      <c r="P50">
        <v>398</v>
      </c>
      <c r="Q50">
        <v>398</v>
      </c>
      <c r="R50">
        <v>400</v>
      </c>
      <c r="S50">
        <v>354</v>
      </c>
      <c r="T50">
        <v>359</v>
      </c>
      <c r="U50">
        <v>371</v>
      </c>
      <c r="V50">
        <v>351</v>
      </c>
      <c r="W50">
        <v>342</v>
      </c>
      <c r="X50">
        <v>343</v>
      </c>
      <c r="Y50">
        <v>324</v>
      </c>
      <c r="Z50">
        <v>350</v>
      </c>
      <c r="AA50">
        <v>319</v>
      </c>
      <c r="AB50">
        <v>307</v>
      </c>
      <c r="AC50">
        <v>295</v>
      </c>
      <c r="AD50">
        <v>274</v>
      </c>
    </row>
    <row r="51" spans="3:30" x14ac:dyDescent="0.25">
      <c r="C51">
        <v>65</v>
      </c>
      <c r="D51">
        <v>0</v>
      </c>
      <c r="E51">
        <v>286</v>
      </c>
      <c r="F51">
        <v>323</v>
      </c>
      <c r="G51">
        <v>306</v>
      </c>
      <c r="H51">
        <v>331</v>
      </c>
      <c r="I51">
        <v>312</v>
      </c>
      <c r="J51">
        <v>325</v>
      </c>
      <c r="K51">
        <v>378</v>
      </c>
      <c r="L51">
        <v>359</v>
      </c>
      <c r="M51">
        <v>345</v>
      </c>
      <c r="N51">
        <v>375</v>
      </c>
      <c r="O51">
        <v>334</v>
      </c>
      <c r="P51">
        <v>407</v>
      </c>
      <c r="Q51">
        <v>394</v>
      </c>
      <c r="R51">
        <v>390</v>
      </c>
      <c r="S51">
        <v>392</v>
      </c>
      <c r="T51">
        <v>350</v>
      </c>
      <c r="U51">
        <v>354</v>
      </c>
      <c r="V51">
        <v>363</v>
      </c>
      <c r="W51">
        <v>345</v>
      </c>
      <c r="X51">
        <v>335</v>
      </c>
      <c r="Y51">
        <v>340</v>
      </c>
      <c r="Z51">
        <v>323</v>
      </c>
      <c r="AA51">
        <v>345</v>
      </c>
      <c r="AB51">
        <v>316</v>
      </c>
      <c r="AC51">
        <v>300</v>
      </c>
      <c r="AD51">
        <v>292</v>
      </c>
    </row>
    <row r="52" spans="3:30" x14ac:dyDescent="0.25">
      <c r="C52">
        <v>66</v>
      </c>
      <c r="D52">
        <v>0</v>
      </c>
      <c r="E52">
        <v>272</v>
      </c>
      <c r="F52">
        <v>286</v>
      </c>
      <c r="G52">
        <v>321</v>
      </c>
      <c r="H52">
        <v>302</v>
      </c>
      <c r="I52">
        <v>325</v>
      </c>
      <c r="J52">
        <v>307</v>
      </c>
      <c r="K52">
        <v>320</v>
      </c>
      <c r="L52">
        <v>375</v>
      </c>
      <c r="M52">
        <v>352</v>
      </c>
      <c r="N52">
        <v>342</v>
      </c>
      <c r="O52">
        <v>374</v>
      </c>
      <c r="P52">
        <v>329</v>
      </c>
      <c r="Q52">
        <v>400</v>
      </c>
      <c r="R52">
        <v>384</v>
      </c>
      <c r="S52">
        <v>385</v>
      </c>
      <c r="T52">
        <v>384</v>
      </c>
      <c r="U52">
        <v>346</v>
      </c>
      <c r="V52">
        <v>344</v>
      </c>
      <c r="W52">
        <v>358</v>
      </c>
      <c r="X52">
        <v>337</v>
      </c>
      <c r="Y52">
        <v>325</v>
      </c>
      <c r="Z52">
        <v>336</v>
      </c>
      <c r="AA52">
        <v>316</v>
      </c>
      <c r="AB52">
        <v>341</v>
      </c>
      <c r="AC52">
        <v>309</v>
      </c>
      <c r="AD52">
        <v>293</v>
      </c>
    </row>
    <row r="53" spans="3:30" x14ac:dyDescent="0.25">
      <c r="C53">
        <v>67</v>
      </c>
      <c r="D53">
        <v>0</v>
      </c>
      <c r="E53">
        <v>269</v>
      </c>
      <c r="F53">
        <v>272</v>
      </c>
      <c r="G53">
        <v>278</v>
      </c>
      <c r="H53">
        <v>312</v>
      </c>
      <c r="I53">
        <v>299</v>
      </c>
      <c r="J53">
        <v>317</v>
      </c>
      <c r="K53">
        <v>306</v>
      </c>
      <c r="L53">
        <v>316</v>
      </c>
      <c r="M53">
        <v>370</v>
      </c>
      <c r="N53">
        <v>346</v>
      </c>
      <c r="O53">
        <v>335</v>
      </c>
      <c r="P53">
        <v>370</v>
      </c>
      <c r="Q53">
        <v>324</v>
      </c>
      <c r="R53">
        <v>391</v>
      </c>
      <c r="S53">
        <v>378</v>
      </c>
      <c r="T53">
        <v>380</v>
      </c>
      <c r="U53">
        <v>378</v>
      </c>
      <c r="V53">
        <v>339</v>
      </c>
      <c r="W53">
        <v>338</v>
      </c>
      <c r="X53">
        <v>352</v>
      </c>
      <c r="Y53">
        <v>329</v>
      </c>
      <c r="Z53">
        <v>320</v>
      </c>
      <c r="AA53">
        <v>333</v>
      </c>
      <c r="AB53">
        <v>314</v>
      </c>
      <c r="AC53">
        <v>337</v>
      </c>
      <c r="AD53">
        <v>302</v>
      </c>
    </row>
    <row r="54" spans="3:30" x14ac:dyDescent="0.25">
      <c r="C54">
        <v>68</v>
      </c>
      <c r="D54">
        <v>0</v>
      </c>
      <c r="E54">
        <v>257</v>
      </c>
      <c r="F54">
        <v>269</v>
      </c>
      <c r="G54">
        <v>270</v>
      </c>
      <c r="H54">
        <v>273</v>
      </c>
      <c r="I54">
        <v>307</v>
      </c>
      <c r="J54">
        <v>290</v>
      </c>
      <c r="K54">
        <v>311</v>
      </c>
      <c r="L54">
        <v>300</v>
      </c>
      <c r="M54">
        <v>311</v>
      </c>
      <c r="N54">
        <v>363</v>
      </c>
      <c r="O54">
        <v>333</v>
      </c>
      <c r="P54">
        <v>328</v>
      </c>
      <c r="Q54">
        <v>363</v>
      </c>
      <c r="R54">
        <v>318</v>
      </c>
      <c r="S54">
        <v>384</v>
      </c>
      <c r="T54">
        <v>372</v>
      </c>
      <c r="U54">
        <v>375</v>
      </c>
      <c r="V54">
        <v>373</v>
      </c>
      <c r="W54">
        <v>337</v>
      </c>
      <c r="X54">
        <v>324</v>
      </c>
      <c r="Y54">
        <v>345</v>
      </c>
      <c r="Z54">
        <v>326</v>
      </c>
      <c r="AA54">
        <v>316</v>
      </c>
      <c r="AB54">
        <v>328</v>
      </c>
      <c r="AC54">
        <v>307</v>
      </c>
      <c r="AD54">
        <v>335</v>
      </c>
    </row>
    <row r="55" spans="3:30" x14ac:dyDescent="0.25">
      <c r="C55">
        <v>69</v>
      </c>
      <c r="D55">
        <v>0</v>
      </c>
      <c r="E55">
        <v>220</v>
      </c>
      <c r="F55">
        <v>257</v>
      </c>
      <c r="G55">
        <v>265</v>
      </c>
      <c r="H55">
        <v>262</v>
      </c>
      <c r="I55">
        <v>268</v>
      </c>
      <c r="J55">
        <v>300</v>
      </c>
      <c r="K55">
        <v>284</v>
      </c>
      <c r="L55">
        <v>309</v>
      </c>
      <c r="M55">
        <v>294</v>
      </c>
      <c r="N55">
        <v>305</v>
      </c>
      <c r="O55">
        <v>355</v>
      </c>
      <c r="P55">
        <v>324</v>
      </c>
      <c r="Q55">
        <v>325</v>
      </c>
      <c r="R55">
        <v>361</v>
      </c>
      <c r="S55">
        <v>312</v>
      </c>
      <c r="T55">
        <v>377</v>
      </c>
      <c r="U55">
        <v>366</v>
      </c>
      <c r="V55">
        <v>370</v>
      </c>
      <c r="W55">
        <v>369</v>
      </c>
      <c r="X55">
        <v>326</v>
      </c>
      <c r="Y55">
        <v>316</v>
      </c>
      <c r="Z55">
        <v>334</v>
      </c>
      <c r="AA55">
        <v>320</v>
      </c>
      <c r="AB55">
        <v>311</v>
      </c>
      <c r="AC55">
        <v>320</v>
      </c>
      <c r="AD55">
        <v>302</v>
      </c>
    </row>
    <row r="56" spans="3:30" x14ac:dyDescent="0.25">
      <c r="C56">
        <v>70</v>
      </c>
      <c r="D56">
        <v>0</v>
      </c>
      <c r="E56">
        <v>200</v>
      </c>
      <c r="F56">
        <v>220</v>
      </c>
      <c r="G56">
        <v>250</v>
      </c>
      <c r="H56">
        <v>259</v>
      </c>
      <c r="I56">
        <v>257</v>
      </c>
      <c r="J56">
        <v>265</v>
      </c>
      <c r="K56">
        <v>297</v>
      </c>
      <c r="L56">
        <v>280</v>
      </c>
      <c r="M56">
        <v>303</v>
      </c>
      <c r="N56">
        <v>291</v>
      </c>
      <c r="O56">
        <v>300</v>
      </c>
      <c r="P56">
        <v>347</v>
      </c>
      <c r="Q56">
        <v>319</v>
      </c>
      <c r="R56">
        <v>319</v>
      </c>
      <c r="S56">
        <v>354</v>
      </c>
      <c r="T56">
        <v>305</v>
      </c>
      <c r="U56">
        <v>369</v>
      </c>
      <c r="V56">
        <v>361</v>
      </c>
      <c r="W56">
        <v>364</v>
      </c>
      <c r="X56">
        <v>365</v>
      </c>
      <c r="Y56">
        <v>316</v>
      </c>
      <c r="Z56">
        <v>310</v>
      </c>
      <c r="AA56">
        <v>328</v>
      </c>
      <c r="AB56">
        <v>313</v>
      </c>
      <c r="AC56">
        <v>304</v>
      </c>
      <c r="AD56">
        <v>317</v>
      </c>
    </row>
    <row r="57" spans="3:30" x14ac:dyDescent="0.25">
      <c r="C57">
        <v>71</v>
      </c>
      <c r="D57">
        <v>0</v>
      </c>
      <c r="E57">
        <v>182</v>
      </c>
      <c r="F57">
        <v>200</v>
      </c>
      <c r="G57">
        <v>208</v>
      </c>
      <c r="H57">
        <v>245</v>
      </c>
      <c r="I57">
        <v>253</v>
      </c>
      <c r="J57">
        <v>250</v>
      </c>
      <c r="K57">
        <v>260</v>
      </c>
      <c r="L57">
        <v>291</v>
      </c>
      <c r="M57">
        <v>271</v>
      </c>
      <c r="N57">
        <v>297</v>
      </c>
      <c r="O57">
        <v>285</v>
      </c>
      <c r="P57">
        <v>291</v>
      </c>
      <c r="Q57">
        <v>345</v>
      </c>
      <c r="R57">
        <v>312</v>
      </c>
      <c r="S57">
        <v>311</v>
      </c>
      <c r="T57">
        <v>350</v>
      </c>
      <c r="U57">
        <v>301</v>
      </c>
      <c r="V57">
        <v>359</v>
      </c>
      <c r="W57">
        <v>356</v>
      </c>
      <c r="X57">
        <v>358</v>
      </c>
      <c r="Y57">
        <v>358</v>
      </c>
      <c r="Z57">
        <v>312</v>
      </c>
      <c r="AA57">
        <v>308</v>
      </c>
      <c r="AB57">
        <v>322</v>
      </c>
      <c r="AC57">
        <v>309</v>
      </c>
      <c r="AD57">
        <v>301</v>
      </c>
    </row>
    <row r="58" spans="3:30" x14ac:dyDescent="0.25">
      <c r="C58">
        <v>72</v>
      </c>
      <c r="D58">
        <v>0</v>
      </c>
      <c r="E58">
        <v>170</v>
      </c>
      <c r="F58">
        <v>182</v>
      </c>
      <c r="G58">
        <v>198</v>
      </c>
      <c r="H58">
        <v>205</v>
      </c>
      <c r="I58">
        <v>238</v>
      </c>
      <c r="J58">
        <v>248</v>
      </c>
      <c r="K58">
        <v>248</v>
      </c>
      <c r="L58">
        <v>255</v>
      </c>
      <c r="M58">
        <v>285</v>
      </c>
      <c r="N58">
        <v>264</v>
      </c>
      <c r="O58">
        <v>292</v>
      </c>
      <c r="P58">
        <v>277</v>
      </c>
      <c r="Q58">
        <v>282</v>
      </c>
      <c r="R58">
        <v>339</v>
      </c>
      <c r="S58">
        <v>304</v>
      </c>
      <c r="T58">
        <v>303</v>
      </c>
      <c r="U58">
        <v>344</v>
      </c>
      <c r="V58">
        <v>297</v>
      </c>
      <c r="W58">
        <v>349</v>
      </c>
      <c r="X58">
        <v>352</v>
      </c>
      <c r="Y58">
        <v>353</v>
      </c>
      <c r="Z58">
        <v>353</v>
      </c>
      <c r="AA58">
        <v>304</v>
      </c>
      <c r="AB58">
        <v>301</v>
      </c>
      <c r="AC58">
        <v>311</v>
      </c>
      <c r="AD58">
        <v>306</v>
      </c>
    </row>
    <row r="59" spans="3:30" x14ac:dyDescent="0.25">
      <c r="C59">
        <v>73</v>
      </c>
      <c r="D59">
        <v>0</v>
      </c>
      <c r="E59">
        <v>165</v>
      </c>
      <c r="F59">
        <v>170</v>
      </c>
      <c r="G59">
        <v>177</v>
      </c>
      <c r="H59">
        <v>196</v>
      </c>
      <c r="I59">
        <v>203</v>
      </c>
      <c r="J59">
        <v>234</v>
      </c>
      <c r="K59">
        <v>242</v>
      </c>
      <c r="L59">
        <v>245</v>
      </c>
      <c r="M59">
        <v>252</v>
      </c>
      <c r="N59">
        <v>278</v>
      </c>
      <c r="O59">
        <v>259</v>
      </c>
      <c r="P59">
        <v>285</v>
      </c>
      <c r="Q59">
        <v>272</v>
      </c>
      <c r="R59">
        <v>277</v>
      </c>
      <c r="S59">
        <v>334</v>
      </c>
      <c r="T59">
        <v>296</v>
      </c>
      <c r="U59">
        <v>293</v>
      </c>
      <c r="V59">
        <v>330</v>
      </c>
      <c r="W59">
        <v>295</v>
      </c>
      <c r="X59">
        <v>339</v>
      </c>
      <c r="Y59">
        <v>347</v>
      </c>
      <c r="Z59">
        <v>343</v>
      </c>
      <c r="AA59">
        <v>347</v>
      </c>
      <c r="AB59">
        <v>296</v>
      </c>
      <c r="AC59">
        <v>297</v>
      </c>
      <c r="AD59">
        <v>304</v>
      </c>
    </row>
    <row r="60" spans="3:30" x14ac:dyDescent="0.25">
      <c r="C60">
        <v>74</v>
      </c>
      <c r="D60">
        <v>0</v>
      </c>
      <c r="E60">
        <v>176</v>
      </c>
      <c r="F60">
        <v>165</v>
      </c>
      <c r="G60">
        <v>169</v>
      </c>
      <c r="H60">
        <v>171</v>
      </c>
      <c r="I60">
        <v>194</v>
      </c>
      <c r="J60">
        <v>197</v>
      </c>
      <c r="K60">
        <v>232</v>
      </c>
      <c r="L60">
        <v>236</v>
      </c>
      <c r="M60">
        <v>238</v>
      </c>
      <c r="N60">
        <v>249</v>
      </c>
      <c r="O60">
        <v>272</v>
      </c>
      <c r="P60">
        <v>252</v>
      </c>
      <c r="Q60">
        <v>277</v>
      </c>
      <c r="R60">
        <v>268</v>
      </c>
      <c r="S60">
        <v>268</v>
      </c>
      <c r="T60">
        <v>328</v>
      </c>
      <c r="U60">
        <v>287</v>
      </c>
      <c r="V60">
        <v>288</v>
      </c>
      <c r="W60">
        <v>325</v>
      </c>
      <c r="X60">
        <v>287</v>
      </c>
      <c r="Y60">
        <v>334</v>
      </c>
      <c r="Z60">
        <v>339</v>
      </c>
      <c r="AA60">
        <v>333</v>
      </c>
      <c r="AB60">
        <v>343</v>
      </c>
      <c r="AC60">
        <v>292</v>
      </c>
      <c r="AD60">
        <v>294</v>
      </c>
    </row>
    <row r="61" spans="3:30" x14ac:dyDescent="0.25">
      <c r="C61">
        <v>75</v>
      </c>
      <c r="D61">
        <v>0</v>
      </c>
      <c r="E61">
        <v>113</v>
      </c>
      <c r="F61">
        <v>176</v>
      </c>
      <c r="G61">
        <v>160</v>
      </c>
      <c r="H61">
        <v>166</v>
      </c>
      <c r="I61">
        <v>166</v>
      </c>
      <c r="J61">
        <v>189</v>
      </c>
      <c r="K61">
        <v>194</v>
      </c>
      <c r="L61">
        <v>228</v>
      </c>
      <c r="M61">
        <v>232</v>
      </c>
      <c r="N61">
        <v>230</v>
      </c>
      <c r="O61">
        <v>244</v>
      </c>
      <c r="P61">
        <v>262</v>
      </c>
      <c r="Q61">
        <v>248</v>
      </c>
      <c r="R61">
        <v>275</v>
      </c>
      <c r="S61">
        <v>262</v>
      </c>
      <c r="T61">
        <v>264</v>
      </c>
      <c r="U61">
        <v>320</v>
      </c>
      <c r="V61">
        <v>284</v>
      </c>
      <c r="W61">
        <v>282</v>
      </c>
      <c r="X61">
        <v>319</v>
      </c>
      <c r="Y61">
        <v>279</v>
      </c>
      <c r="Z61">
        <v>327</v>
      </c>
      <c r="AA61">
        <v>335</v>
      </c>
      <c r="AB61">
        <v>330</v>
      </c>
      <c r="AC61">
        <v>339</v>
      </c>
      <c r="AD61">
        <v>282</v>
      </c>
    </row>
    <row r="62" spans="3:30" x14ac:dyDescent="0.25">
      <c r="C62">
        <v>76</v>
      </c>
      <c r="D62">
        <v>0</v>
      </c>
      <c r="E62">
        <v>139</v>
      </c>
      <c r="F62">
        <v>113</v>
      </c>
      <c r="G62">
        <v>173</v>
      </c>
      <c r="H62">
        <v>157</v>
      </c>
      <c r="I62">
        <v>159</v>
      </c>
      <c r="J62">
        <v>163</v>
      </c>
      <c r="K62">
        <v>186</v>
      </c>
      <c r="L62">
        <v>189</v>
      </c>
      <c r="M62">
        <v>220</v>
      </c>
      <c r="N62">
        <v>224</v>
      </c>
      <c r="O62">
        <v>223</v>
      </c>
      <c r="P62">
        <v>237</v>
      </c>
      <c r="Q62">
        <v>248</v>
      </c>
      <c r="R62">
        <v>241</v>
      </c>
      <c r="S62">
        <v>269</v>
      </c>
      <c r="T62">
        <v>255</v>
      </c>
      <c r="U62">
        <v>261</v>
      </c>
      <c r="V62">
        <v>312</v>
      </c>
      <c r="W62">
        <v>275</v>
      </c>
      <c r="X62">
        <v>280</v>
      </c>
      <c r="Y62">
        <v>311</v>
      </c>
      <c r="Z62">
        <v>269</v>
      </c>
      <c r="AA62">
        <v>323</v>
      </c>
      <c r="AB62">
        <v>320</v>
      </c>
      <c r="AC62">
        <v>322</v>
      </c>
      <c r="AD62">
        <v>329</v>
      </c>
    </row>
    <row r="63" spans="3:30" x14ac:dyDescent="0.25">
      <c r="C63">
        <v>77</v>
      </c>
      <c r="D63">
        <v>0</v>
      </c>
      <c r="E63">
        <v>148</v>
      </c>
      <c r="F63">
        <v>139</v>
      </c>
      <c r="G63">
        <v>107</v>
      </c>
      <c r="H63">
        <v>168</v>
      </c>
      <c r="I63">
        <v>153</v>
      </c>
      <c r="J63">
        <v>159</v>
      </c>
      <c r="K63">
        <v>160</v>
      </c>
      <c r="L63">
        <v>183</v>
      </c>
      <c r="M63">
        <v>180</v>
      </c>
      <c r="N63">
        <v>212</v>
      </c>
      <c r="O63">
        <v>213</v>
      </c>
      <c r="P63">
        <v>217</v>
      </c>
      <c r="Q63">
        <v>231</v>
      </c>
      <c r="R63">
        <v>241</v>
      </c>
      <c r="S63">
        <v>233</v>
      </c>
      <c r="T63">
        <v>261</v>
      </c>
      <c r="U63">
        <v>246</v>
      </c>
      <c r="V63">
        <v>255</v>
      </c>
      <c r="W63">
        <v>305</v>
      </c>
      <c r="X63">
        <v>271</v>
      </c>
      <c r="Y63">
        <v>275</v>
      </c>
      <c r="Z63">
        <v>300</v>
      </c>
      <c r="AA63">
        <v>260</v>
      </c>
      <c r="AB63">
        <v>315</v>
      </c>
      <c r="AC63">
        <v>316</v>
      </c>
      <c r="AD63">
        <v>309</v>
      </c>
    </row>
    <row r="64" spans="3:30" x14ac:dyDescent="0.25">
      <c r="C64">
        <v>78</v>
      </c>
      <c r="D64">
        <v>0</v>
      </c>
      <c r="E64">
        <v>152</v>
      </c>
      <c r="F64">
        <v>148</v>
      </c>
      <c r="G64">
        <v>137</v>
      </c>
      <c r="H64">
        <v>106</v>
      </c>
      <c r="I64">
        <v>164</v>
      </c>
      <c r="J64">
        <v>148</v>
      </c>
      <c r="K64">
        <v>155</v>
      </c>
      <c r="L64">
        <v>156</v>
      </c>
      <c r="M64">
        <v>173</v>
      </c>
      <c r="N64">
        <v>174</v>
      </c>
      <c r="O64">
        <v>207</v>
      </c>
      <c r="P64">
        <v>205</v>
      </c>
      <c r="Q64">
        <v>211</v>
      </c>
      <c r="R64">
        <v>227</v>
      </c>
      <c r="S64">
        <v>234</v>
      </c>
      <c r="T64">
        <v>228</v>
      </c>
      <c r="U64">
        <v>252</v>
      </c>
      <c r="V64">
        <v>242</v>
      </c>
      <c r="W64">
        <v>246</v>
      </c>
      <c r="X64">
        <v>294</v>
      </c>
      <c r="Y64">
        <v>261</v>
      </c>
      <c r="Z64">
        <v>272</v>
      </c>
      <c r="AA64">
        <v>287</v>
      </c>
      <c r="AB64">
        <v>255</v>
      </c>
      <c r="AC64">
        <v>313</v>
      </c>
      <c r="AD64">
        <v>307</v>
      </c>
    </row>
    <row r="65" spans="3:30" x14ac:dyDescent="0.25">
      <c r="C65">
        <v>79</v>
      </c>
      <c r="D65">
        <v>0</v>
      </c>
      <c r="E65">
        <v>138</v>
      </c>
      <c r="F65">
        <v>152</v>
      </c>
      <c r="G65">
        <v>143</v>
      </c>
      <c r="H65">
        <v>130</v>
      </c>
      <c r="I65">
        <v>99</v>
      </c>
      <c r="J65">
        <v>162</v>
      </c>
      <c r="K65">
        <v>143</v>
      </c>
      <c r="L65">
        <v>151</v>
      </c>
      <c r="M65">
        <v>153</v>
      </c>
      <c r="N65">
        <v>166</v>
      </c>
      <c r="O65">
        <v>167</v>
      </c>
      <c r="P65">
        <v>200</v>
      </c>
      <c r="Q65">
        <v>201</v>
      </c>
      <c r="R65">
        <v>208</v>
      </c>
      <c r="S65">
        <v>219</v>
      </c>
      <c r="T65">
        <v>225</v>
      </c>
      <c r="U65">
        <v>222</v>
      </c>
      <c r="V65">
        <v>249</v>
      </c>
      <c r="W65">
        <v>238</v>
      </c>
      <c r="X65">
        <v>241</v>
      </c>
      <c r="Y65">
        <v>287</v>
      </c>
      <c r="Z65">
        <v>257</v>
      </c>
      <c r="AA65">
        <v>267</v>
      </c>
      <c r="AB65">
        <v>277</v>
      </c>
      <c r="AC65">
        <v>249</v>
      </c>
      <c r="AD65">
        <v>306</v>
      </c>
    </row>
    <row r="66" spans="3:30" x14ac:dyDescent="0.25">
      <c r="C66">
        <v>80</v>
      </c>
      <c r="D66">
        <v>0</v>
      </c>
      <c r="E66">
        <v>108</v>
      </c>
      <c r="F66">
        <v>138</v>
      </c>
      <c r="G66">
        <v>147</v>
      </c>
      <c r="H66">
        <v>141</v>
      </c>
      <c r="I66">
        <v>129</v>
      </c>
      <c r="J66">
        <v>93</v>
      </c>
      <c r="K66">
        <v>157</v>
      </c>
      <c r="L66">
        <v>139</v>
      </c>
      <c r="M66">
        <v>146</v>
      </c>
      <c r="N66">
        <v>150</v>
      </c>
      <c r="O66">
        <v>162</v>
      </c>
      <c r="P66">
        <v>161</v>
      </c>
      <c r="Q66">
        <v>193</v>
      </c>
      <c r="R66">
        <v>193</v>
      </c>
      <c r="S66">
        <v>204</v>
      </c>
      <c r="T66">
        <v>213</v>
      </c>
      <c r="U66">
        <v>219</v>
      </c>
      <c r="V66">
        <v>219</v>
      </c>
      <c r="W66">
        <v>242</v>
      </c>
      <c r="X66">
        <v>233</v>
      </c>
      <c r="Y66">
        <v>239</v>
      </c>
      <c r="Z66">
        <v>275</v>
      </c>
      <c r="AA66">
        <v>252</v>
      </c>
      <c r="AB66">
        <v>257</v>
      </c>
      <c r="AC66">
        <v>271</v>
      </c>
      <c r="AD66">
        <v>245</v>
      </c>
    </row>
    <row r="67" spans="3:30" x14ac:dyDescent="0.25">
      <c r="C67">
        <v>81</v>
      </c>
      <c r="D67">
        <v>0</v>
      </c>
      <c r="E67">
        <v>108</v>
      </c>
      <c r="F67">
        <v>108</v>
      </c>
      <c r="G67">
        <v>132</v>
      </c>
      <c r="H67">
        <v>137</v>
      </c>
      <c r="I67">
        <v>136</v>
      </c>
      <c r="J67">
        <v>125</v>
      </c>
      <c r="K67">
        <v>89</v>
      </c>
      <c r="L67">
        <v>153</v>
      </c>
      <c r="M67">
        <v>134</v>
      </c>
      <c r="N67">
        <v>142</v>
      </c>
      <c r="O67">
        <v>149</v>
      </c>
      <c r="P67">
        <v>156</v>
      </c>
      <c r="Q67">
        <v>159</v>
      </c>
      <c r="R67">
        <v>188</v>
      </c>
      <c r="S67">
        <v>188</v>
      </c>
      <c r="T67">
        <v>199</v>
      </c>
      <c r="U67">
        <v>207</v>
      </c>
      <c r="V67">
        <v>214</v>
      </c>
      <c r="W67">
        <v>212</v>
      </c>
      <c r="X67">
        <v>235</v>
      </c>
      <c r="Y67">
        <v>226</v>
      </c>
      <c r="Z67">
        <v>235</v>
      </c>
      <c r="AA67">
        <v>262</v>
      </c>
      <c r="AB67">
        <v>244</v>
      </c>
      <c r="AC67">
        <v>250</v>
      </c>
      <c r="AD67">
        <v>266</v>
      </c>
    </row>
    <row r="68" spans="3:30" x14ac:dyDescent="0.25">
      <c r="C68">
        <v>82</v>
      </c>
      <c r="D68">
        <v>0</v>
      </c>
      <c r="E68">
        <v>103</v>
      </c>
      <c r="F68">
        <v>108</v>
      </c>
      <c r="G68">
        <v>104</v>
      </c>
      <c r="H68">
        <v>129</v>
      </c>
      <c r="I68">
        <v>131</v>
      </c>
      <c r="J68">
        <v>132</v>
      </c>
      <c r="K68">
        <v>117</v>
      </c>
      <c r="L68">
        <v>86</v>
      </c>
      <c r="M68">
        <v>149</v>
      </c>
      <c r="N68">
        <v>129</v>
      </c>
      <c r="O68">
        <v>133</v>
      </c>
      <c r="P68">
        <v>147</v>
      </c>
      <c r="Q68">
        <v>150</v>
      </c>
      <c r="R68">
        <v>153</v>
      </c>
      <c r="S68">
        <v>183</v>
      </c>
      <c r="T68">
        <v>177</v>
      </c>
      <c r="U68">
        <v>196</v>
      </c>
      <c r="V68">
        <v>202</v>
      </c>
      <c r="W68">
        <v>207</v>
      </c>
      <c r="X68">
        <v>206</v>
      </c>
      <c r="Y68">
        <v>228</v>
      </c>
      <c r="Z68">
        <v>218</v>
      </c>
      <c r="AA68">
        <v>231</v>
      </c>
      <c r="AB68">
        <v>254</v>
      </c>
      <c r="AC68">
        <v>239</v>
      </c>
      <c r="AD68">
        <v>242</v>
      </c>
    </row>
    <row r="69" spans="3:30" x14ac:dyDescent="0.25">
      <c r="C69">
        <v>83</v>
      </c>
      <c r="D69">
        <v>0</v>
      </c>
      <c r="E69">
        <v>121</v>
      </c>
      <c r="F69">
        <v>103</v>
      </c>
      <c r="G69">
        <v>104</v>
      </c>
      <c r="H69">
        <v>97</v>
      </c>
      <c r="I69">
        <v>128</v>
      </c>
      <c r="J69">
        <v>125</v>
      </c>
      <c r="K69">
        <v>127</v>
      </c>
      <c r="L69">
        <v>114</v>
      </c>
      <c r="M69">
        <v>84</v>
      </c>
      <c r="N69">
        <v>147</v>
      </c>
      <c r="O69">
        <v>127</v>
      </c>
      <c r="P69">
        <v>129</v>
      </c>
      <c r="Q69">
        <v>142</v>
      </c>
      <c r="R69">
        <v>147</v>
      </c>
      <c r="S69">
        <v>149</v>
      </c>
      <c r="T69">
        <v>177</v>
      </c>
      <c r="U69">
        <v>173</v>
      </c>
      <c r="V69">
        <v>189</v>
      </c>
      <c r="W69">
        <v>194</v>
      </c>
      <c r="X69">
        <v>201</v>
      </c>
      <c r="Y69">
        <v>201</v>
      </c>
      <c r="Z69">
        <v>220</v>
      </c>
      <c r="AA69">
        <v>209</v>
      </c>
      <c r="AB69">
        <v>222</v>
      </c>
      <c r="AC69">
        <v>243</v>
      </c>
      <c r="AD69">
        <v>237</v>
      </c>
    </row>
    <row r="70" spans="3:30" x14ac:dyDescent="0.25">
      <c r="C70">
        <v>84</v>
      </c>
      <c r="D70">
        <v>0</v>
      </c>
      <c r="E70">
        <v>110</v>
      </c>
      <c r="F70">
        <v>121</v>
      </c>
      <c r="G70">
        <v>101</v>
      </c>
      <c r="H70">
        <v>102</v>
      </c>
      <c r="I70">
        <v>93</v>
      </c>
      <c r="J70">
        <v>126</v>
      </c>
      <c r="K70">
        <v>123</v>
      </c>
      <c r="L70">
        <v>121</v>
      </c>
      <c r="M70">
        <v>109</v>
      </c>
      <c r="N70">
        <v>80</v>
      </c>
      <c r="O70">
        <v>142</v>
      </c>
      <c r="P70">
        <v>125</v>
      </c>
      <c r="Q70">
        <v>122</v>
      </c>
      <c r="R70">
        <v>134</v>
      </c>
      <c r="S70">
        <v>144</v>
      </c>
      <c r="T70">
        <v>144</v>
      </c>
      <c r="U70">
        <v>172</v>
      </c>
      <c r="V70">
        <v>166</v>
      </c>
      <c r="W70">
        <v>185</v>
      </c>
      <c r="X70">
        <v>181</v>
      </c>
      <c r="Y70">
        <v>194</v>
      </c>
      <c r="Z70">
        <v>193</v>
      </c>
      <c r="AA70">
        <v>215</v>
      </c>
      <c r="AB70">
        <v>201</v>
      </c>
      <c r="AC70">
        <v>215</v>
      </c>
      <c r="AD70">
        <v>234</v>
      </c>
    </row>
    <row r="71" spans="3:30" x14ac:dyDescent="0.25">
      <c r="C71">
        <v>85</v>
      </c>
      <c r="D71">
        <v>0</v>
      </c>
      <c r="E71">
        <v>526</v>
      </c>
      <c r="F71">
        <v>110</v>
      </c>
      <c r="G71">
        <v>118</v>
      </c>
      <c r="H71">
        <v>98</v>
      </c>
      <c r="I71">
        <v>97</v>
      </c>
      <c r="J71">
        <v>93</v>
      </c>
      <c r="K71">
        <v>116</v>
      </c>
      <c r="L71">
        <v>117</v>
      </c>
      <c r="M71">
        <v>115</v>
      </c>
      <c r="N71">
        <v>103</v>
      </c>
      <c r="O71">
        <v>79</v>
      </c>
      <c r="P71">
        <v>135</v>
      </c>
      <c r="Q71">
        <v>124</v>
      </c>
      <c r="R71">
        <v>118</v>
      </c>
      <c r="S71">
        <v>129</v>
      </c>
      <c r="T71">
        <v>135</v>
      </c>
      <c r="U71">
        <v>144</v>
      </c>
      <c r="V71">
        <v>169</v>
      </c>
      <c r="W71">
        <v>164</v>
      </c>
      <c r="X71">
        <v>179</v>
      </c>
      <c r="Y71">
        <v>172</v>
      </c>
      <c r="Z71">
        <v>186</v>
      </c>
      <c r="AA71">
        <v>188</v>
      </c>
      <c r="AB71">
        <v>213</v>
      </c>
      <c r="AC71">
        <v>195</v>
      </c>
      <c r="AD71">
        <v>208</v>
      </c>
    </row>
    <row r="72" spans="3:30" x14ac:dyDescent="0.25">
      <c r="C72">
        <v>86</v>
      </c>
      <c r="D72">
        <v>0</v>
      </c>
      <c r="E72">
        <v>0</v>
      </c>
      <c r="F72">
        <v>526</v>
      </c>
      <c r="G72">
        <v>101</v>
      </c>
      <c r="H72">
        <v>109</v>
      </c>
      <c r="I72">
        <v>90</v>
      </c>
      <c r="J72">
        <v>92</v>
      </c>
      <c r="K72">
        <v>87</v>
      </c>
      <c r="L72">
        <v>109</v>
      </c>
      <c r="M72">
        <v>111</v>
      </c>
      <c r="N72">
        <v>110</v>
      </c>
      <c r="O72">
        <v>98</v>
      </c>
      <c r="P72">
        <v>73</v>
      </c>
      <c r="Q72">
        <v>129</v>
      </c>
      <c r="R72">
        <v>121</v>
      </c>
      <c r="S72">
        <v>113</v>
      </c>
      <c r="T72">
        <v>124</v>
      </c>
      <c r="U72">
        <v>126</v>
      </c>
      <c r="V72">
        <v>135</v>
      </c>
      <c r="W72">
        <v>161</v>
      </c>
      <c r="X72">
        <v>159</v>
      </c>
      <c r="Y72">
        <v>173</v>
      </c>
      <c r="Z72">
        <v>163</v>
      </c>
      <c r="AA72">
        <v>177</v>
      </c>
      <c r="AB72">
        <v>178</v>
      </c>
      <c r="AC72">
        <v>206</v>
      </c>
      <c r="AD72">
        <v>187</v>
      </c>
    </row>
    <row r="73" spans="3:30" x14ac:dyDescent="0.25">
      <c r="C73">
        <v>87</v>
      </c>
      <c r="D73">
        <v>0</v>
      </c>
      <c r="E73">
        <v>0</v>
      </c>
      <c r="F73">
        <v>0</v>
      </c>
      <c r="G73">
        <v>494</v>
      </c>
      <c r="H73">
        <v>95</v>
      </c>
      <c r="I73">
        <v>102</v>
      </c>
      <c r="J73">
        <v>83</v>
      </c>
      <c r="K73">
        <v>87</v>
      </c>
      <c r="L73">
        <v>86</v>
      </c>
      <c r="M73">
        <v>109</v>
      </c>
      <c r="N73">
        <v>105</v>
      </c>
      <c r="O73">
        <v>105</v>
      </c>
      <c r="P73">
        <v>97</v>
      </c>
      <c r="Q73">
        <v>71</v>
      </c>
      <c r="R73">
        <v>123</v>
      </c>
      <c r="S73">
        <v>116</v>
      </c>
      <c r="T73">
        <v>112</v>
      </c>
      <c r="U73">
        <v>113</v>
      </c>
      <c r="V73">
        <v>123</v>
      </c>
      <c r="W73">
        <v>128</v>
      </c>
      <c r="X73">
        <v>156</v>
      </c>
      <c r="Y73">
        <v>149</v>
      </c>
      <c r="Z73">
        <v>166</v>
      </c>
      <c r="AA73">
        <v>158</v>
      </c>
      <c r="AB73">
        <v>168</v>
      </c>
      <c r="AC73">
        <v>170</v>
      </c>
      <c r="AD73">
        <v>198</v>
      </c>
    </row>
    <row r="74" spans="3:30" x14ac:dyDescent="0.25">
      <c r="C74">
        <v>88</v>
      </c>
      <c r="D74">
        <v>0</v>
      </c>
      <c r="E74">
        <v>0</v>
      </c>
      <c r="F74">
        <v>0</v>
      </c>
      <c r="G74">
        <v>0</v>
      </c>
      <c r="H74">
        <v>466</v>
      </c>
      <c r="I74">
        <v>91</v>
      </c>
      <c r="J74">
        <v>97</v>
      </c>
      <c r="K74">
        <v>81</v>
      </c>
      <c r="L74">
        <v>82</v>
      </c>
      <c r="M74">
        <v>84</v>
      </c>
      <c r="N74">
        <v>103</v>
      </c>
      <c r="O74">
        <v>102</v>
      </c>
      <c r="P74">
        <v>104</v>
      </c>
      <c r="Q74">
        <v>95</v>
      </c>
      <c r="R74">
        <v>68</v>
      </c>
      <c r="S74">
        <v>121</v>
      </c>
      <c r="T74">
        <v>114</v>
      </c>
      <c r="U74">
        <v>106</v>
      </c>
      <c r="V74">
        <v>110</v>
      </c>
      <c r="W74">
        <v>119</v>
      </c>
      <c r="X74">
        <v>121</v>
      </c>
      <c r="Y74">
        <v>143</v>
      </c>
      <c r="Z74">
        <v>146</v>
      </c>
      <c r="AA74">
        <v>159</v>
      </c>
      <c r="AB74">
        <v>153</v>
      </c>
      <c r="AC74">
        <v>165</v>
      </c>
      <c r="AD74">
        <v>166</v>
      </c>
    </row>
    <row r="75" spans="3:30" x14ac:dyDescent="0.25">
      <c r="C75">
        <v>89</v>
      </c>
      <c r="D75">
        <v>0</v>
      </c>
      <c r="E75">
        <v>0</v>
      </c>
      <c r="F75">
        <v>0</v>
      </c>
      <c r="G75">
        <v>0</v>
      </c>
      <c r="H75">
        <v>0</v>
      </c>
      <c r="I75">
        <v>441</v>
      </c>
      <c r="J75">
        <v>88</v>
      </c>
      <c r="K75">
        <v>95</v>
      </c>
      <c r="L75">
        <v>77</v>
      </c>
      <c r="M75">
        <v>78</v>
      </c>
      <c r="N75">
        <v>76</v>
      </c>
      <c r="O75">
        <v>97</v>
      </c>
      <c r="P75">
        <v>99</v>
      </c>
      <c r="Q75">
        <v>97</v>
      </c>
      <c r="R75">
        <v>90</v>
      </c>
      <c r="S75">
        <v>67</v>
      </c>
      <c r="T75">
        <v>115</v>
      </c>
      <c r="U75">
        <v>112</v>
      </c>
      <c r="V75">
        <v>100</v>
      </c>
      <c r="W75">
        <v>108</v>
      </c>
      <c r="X75">
        <v>115</v>
      </c>
      <c r="Y75">
        <v>115</v>
      </c>
      <c r="Z75">
        <v>140</v>
      </c>
      <c r="AA75">
        <v>135</v>
      </c>
      <c r="AB75">
        <v>153</v>
      </c>
      <c r="AC75">
        <v>152</v>
      </c>
      <c r="AD75">
        <v>162</v>
      </c>
    </row>
    <row r="76" spans="3:30" x14ac:dyDescent="0.25">
      <c r="C76">
        <v>90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421</v>
      </c>
      <c r="K76">
        <v>82</v>
      </c>
      <c r="L76">
        <v>90</v>
      </c>
      <c r="M76">
        <v>75</v>
      </c>
      <c r="N76">
        <v>74</v>
      </c>
      <c r="O76">
        <v>75</v>
      </c>
      <c r="P76">
        <v>94</v>
      </c>
      <c r="Q76">
        <v>95</v>
      </c>
      <c r="R76">
        <v>93</v>
      </c>
      <c r="S76">
        <v>87</v>
      </c>
      <c r="T76">
        <v>66</v>
      </c>
      <c r="U76">
        <v>110</v>
      </c>
      <c r="V76">
        <v>106</v>
      </c>
      <c r="W76">
        <v>94</v>
      </c>
      <c r="X76">
        <v>104</v>
      </c>
      <c r="Y76">
        <v>110</v>
      </c>
      <c r="Z76">
        <v>110</v>
      </c>
      <c r="AA76">
        <v>132</v>
      </c>
      <c r="AB76">
        <v>131</v>
      </c>
      <c r="AC76">
        <v>149</v>
      </c>
      <c r="AD76">
        <v>139</v>
      </c>
    </row>
    <row r="77" spans="3:30" x14ac:dyDescent="0.25">
      <c r="C77">
        <v>91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398</v>
      </c>
      <c r="L77">
        <v>75</v>
      </c>
      <c r="M77">
        <v>88</v>
      </c>
      <c r="N77">
        <v>72</v>
      </c>
      <c r="O77">
        <v>70</v>
      </c>
      <c r="P77">
        <v>74</v>
      </c>
      <c r="Q77">
        <v>90</v>
      </c>
      <c r="R77">
        <v>90</v>
      </c>
      <c r="S77">
        <v>90</v>
      </c>
      <c r="T77">
        <v>86</v>
      </c>
      <c r="U77">
        <v>64</v>
      </c>
      <c r="V77">
        <v>103</v>
      </c>
      <c r="W77">
        <v>101</v>
      </c>
      <c r="X77">
        <v>92</v>
      </c>
      <c r="Y77">
        <v>102</v>
      </c>
      <c r="Z77">
        <v>105</v>
      </c>
      <c r="AA77">
        <v>104</v>
      </c>
      <c r="AB77">
        <v>126</v>
      </c>
      <c r="AC77">
        <v>125</v>
      </c>
      <c r="AD77">
        <v>146</v>
      </c>
    </row>
    <row r="78" spans="3:30" x14ac:dyDescent="0.25">
      <c r="C78">
        <v>92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381</v>
      </c>
      <c r="M78">
        <v>73</v>
      </c>
      <c r="N78">
        <v>85</v>
      </c>
      <c r="O78">
        <v>69</v>
      </c>
      <c r="P78">
        <v>66</v>
      </c>
      <c r="Q78">
        <v>70</v>
      </c>
      <c r="R78">
        <v>87</v>
      </c>
      <c r="S78">
        <v>83</v>
      </c>
      <c r="T78">
        <v>89</v>
      </c>
      <c r="U78">
        <v>83</v>
      </c>
      <c r="V78">
        <v>63</v>
      </c>
      <c r="W78">
        <v>97</v>
      </c>
      <c r="X78">
        <v>97</v>
      </c>
      <c r="Y78">
        <v>89</v>
      </c>
      <c r="Z78">
        <v>98</v>
      </c>
      <c r="AA78">
        <v>100</v>
      </c>
      <c r="AB78">
        <v>100</v>
      </c>
      <c r="AC78">
        <v>123</v>
      </c>
      <c r="AD78">
        <v>120</v>
      </c>
    </row>
    <row r="79" spans="3:30" x14ac:dyDescent="0.25">
      <c r="C79">
        <v>93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374</v>
      </c>
      <c r="N79">
        <v>70</v>
      </c>
      <c r="O79">
        <v>81</v>
      </c>
      <c r="P79">
        <v>62</v>
      </c>
      <c r="Q79">
        <v>63</v>
      </c>
      <c r="R79">
        <v>66</v>
      </c>
      <c r="S79">
        <v>87</v>
      </c>
      <c r="T79">
        <v>80</v>
      </c>
      <c r="U79">
        <v>85</v>
      </c>
      <c r="V79">
        <v>80</v>
      </c>
      <c r="W79">
        <v>60</v>
      </c>
      <c r="X79">
        <v>89</v>
      </c>
      <c r="Y79">
        <v>93</v>
      </c>
      <c r="Z79">
        <v>84</v>
      </c>
      <c r="AA79">
        <v>95</v>
      </c>
      <c r="AB79">
        <v>97</v>
      </c>
      <c r="AC79">
        <v>97</v>
      </c>
      <c r="AD79">
        <v>120</v>
      </c>
    </row>
    <row r="80" spans="3:30" x14ac:dyDescent="0.25">
      <c r="C80">
        <v>94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355</v>
      </c>
      <c r="O80">
        <v>70</v>
      </c>
      <c r="P80">
        <v>79</v>
      </c>
      <c r="Q80">
        <v>56</v>
      </c>
      <c r="R80">
        <v>61</v>
      </c>
      <c r="S80">
        <v>66</v>
      </c>
      <c r="T80">
        <v>86</v>
      </c>
      <c r="U80">
        <v>76</v>
      </c>
      <c r="V80">
        <v>84</v>
      </c>
      <c r="W80">
        <v>75</v>
      </c>
      <c r="X80">
        <v>58</v>
      </c>
      <c r="Y80">
        <v>86</v>
      </c>
      <c r="Z80">
        <v>89</v>
      </c>
      <c r="AA80">
        <v>80</v>
      </c>
      <c r="AB80">
        <v>92</v>
      </c>
      <c r="AC80">
        <v>93</v>
      </c>
      <c r="AD80">
        <v>95</v>
      </c>
    </row>
    <row r="81" spans="3:30" x14ac:dyDescent="0.25">
      <c r="C81">
        <v>95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341</v>
      </c>
      <c r="P81">
        <v>69</v>
      </c>
      <c r="Q81">
        <v>74</v>
      </c>
      <c r="R81">
        <v>54</v>
      </c>
      <c r="S81">
        <v>57</v>
      </c>
      <c r="T81">
        <v>62</v>
      </c>
      <c r="U81">
        <v>84</v>
      </c>
      <c r="V81">
        <v>75</v>
      </c>
      <c r="W81">
        <v>81</v>
      </c>
      <c r="X81">
        <v>73</v>
      </c>
      <c r="Y81">
        <v>55</v>
      </c>
      <c r="Z81">
        <v>85</v>
      </c>
      <c r="AA81">
        <v>89</v>
      </c>
      <c r="AB81">
        <v>79</v>
      </c>
      <c r="AC81">
        <v>92</v>
      </c>
      <c r="AD81">
        <v>92</v>
      </c>
    </row>
    <row r="82" spans="3:30" x14ac:dyDescent="0.25">
      <c r="C82">
        <v>96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329</v>
      </c>
      <c r="Q82">
        <v>68</v>
      </c>
      <c r="R82">
        <v>72</v>
      </c>
      <c r="S82">
        <v>53</v>
      </c>
      <c r="T82">
        <v>55</v>
      </c>
      <c r="U82">
        <v>59</v>
      </c>
      <c r="V82">
        <v>78</v>
      </c>
      <c r="W82">
        <v>72</v>
      </c>
      <c r="X82">
        <v>78</v>
      </c>
      <c r="Y82">
        <v>69</v>
      </c>
      <c r="Z82">
        <v>51</v>
      </c>
      <c r="AA82">
        <v>85</v>
      </c>
      <c r="AB82">
        <v>88</v>
      </c>
      <c r="AC82">
        <v>78</v>
      </c>
      <c r="AD82">
        <v>92</v>
      </c>
    </row>
    <row r="83" spans="3:30" x14ac:dyDescent="0.25">
      <c r="C83">
        <v>97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313</v>
      </c>
      <c r="R83">
        <v>66</v>
      </c>
      <c r="S83">
        <v>71</v>
      </c>
      <c r="T83">
        <v>52</v>
      </c>
      <c r="U83">
        <v>54</v>
      </c>
      <c r="V83">
        <v>57</v>
      </c>
      <c r="W83">
        <v>74</v>
      </c>
      <c r="X83">
        <v>70</v>
      </c>
      <c r="Y83">
        <v>77</v>
      </c>
      <c r="Z83">
        <v>67</v>
      </c>
      <c r="AA83">
        <v>51</v>
      </c>
      <c r="AB83">
        <v>82</v>
      </c>
      <c r="AC83">
        <v>83</v>
      </c>
      <c r="AD83">
        <v>74</v>
      </c>
    </row>
    <row r="84" spans="3:30" x14ac:dyDescent="0.25">
      <c r="C84">
        <v>98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301</v>
      </c>
      <c r="S84">
        <v>58</v>
      </c>
      <c r="T84">
        <v>69</v>
      </c>
      <c r="U84">
        <v>50</v>
      </c>
      <c r="V84">
        <v>52</v>
      </c>
      <c r="W84">
        <v>56</v>
      </c>
      <c r="X84">
        <v>74</v>
      </c>
      <c r="Y84">
        <v>68</v>
      </c>
      <c r="Z84">
        <v>75</v>
      </c>
      <c r="AA84">
        <v>66</v>
      </c>
      <c r="AB84">
        <v>50</v>
      </c>
      <c r="AC84">
        <v>74</v>
      </c>
      <c r="AD84">
        <v>83</v>
      </c>
    </row>
    <row r="85" spans="3:30" x14ac:dyDescent="0.25">
      <c r="C85">
        <v>99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293</v>
      </c>
      <c r="T85">
        <v>57</v>
      </c>
      <c r="U85">
        <v>63</v>
      </c>
      <c r="V85">
        <v>49</v>
      </c>
      <c r="W85">
        <v>50</v>
      </c>
      <c r="X85">
        <v>54</v>
      </c>
      <c r="Y85">
        <v>70</v>
      </c>
      <c r="Z85">
        <v>66</v>
      </c>
      <c r="AA85">
        <v>73</v>
      </c>
      <c r="AB85">
        <v>65</v>
      </c>
      <c r="AC85">
        <v>50</v>
      </c>
      <c r="AD85">
        <v>71</v>
      </c>
    </row>
    <row r="86" spans="3:30" x14ac:dyDescent="0.25">
      <c r="C86">
        <v>100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287</v>
      </c>
      <c r="U86">
        <v>56</v>
      </c>
      <c r="V86">
        <v>63</v>
      </c>
      <c r="W86">
        <v>47</v>
      </c>
      <c r="X86">
        <v>48</v>
      </c>
      <c r="Y86">
        <v>51</v>
      </c>
      <c r="Z86">
        <v>66</v>
      </c>
      <c r="AA86">
        <v>62</v>
      </c>
      <c r="AB86">
        <v>73</v>
      </c>
      <c r="AC86">
        <v>62</v>
      </c>
      <c r="AD86">
        <v>50</v>
      </c>
    </row>
    <row r="87" spans="3:30" x14ac:dyDescent="0.25">
      <c r="C87">
        <v>101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274</v>
      </c>
      <c r="V87">
        <v>55</v>
      </c>
      <c r="W87">
        <v>60</v>
      </c>
      <c r="X87">
        <v>45</v>
      </c>
      <c r="Y87">
        <v>45</v>
      </c>
      <c r="Z87">
        <v>49</v>
      </c>
      <c r="AA87">
        <v>65</v>
      </c>
      <c r="AB87">
        <v>59</v>
      </c>
      <c r="AC87">
        <v>71</v>
      </c>
      <c r="AD87">
        <v>61</v>
      </c>
    </row>
    <row r="88" spans="3:30" x14ac:dyDescent="0.25">
      <c r="C88">
        <v>102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263</v>
      </c>
      <c r="W88">
        <v>55</v>
      </c>
      <c r="X88">
        <v>59</v>
      </c>
      <c r="Y88">
        <v>44</v>
      </c>
      <c r="Z88">
        <v>44</v>
      </c>
      <c r="AA88">
        <v>47</v>
      </c>
      <c r="AB88">
        <v>64</v>
      </c>
      <c r="AC88">
        <v>54</v>
      </c>
      <c r="AD88">
        <v>68</v>
      </c>
    </row>
    <row r="89" spans="3:30" x14ac:dyDescent="0.25">
      <c r="C89">
        <v>103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256</v>
      </c>
      <c r="X89">
        <v>54</v>
      </c>
      <c r="Y89">
        <v>56</v>
      </c>
      <c r="Z89">
        <v>42</v>
      </c>
      <c r="AA89">
        <v>41</v>
      </c>
      <c r="AB89">
        <v>47</v>
      </c>
      <c r="AC89">
        <v>63</v>
      </c>
      <c r="AD89">
        <v>52</v>
      </c>
    </row>
    <row r="90" spans="3:30" x14ac:dyDescent="0.25">
      <c r="C90">
        <v>104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248</v>
      </c>
      <c r="Y90">
        <v>53</v>
      </c>
      <c r="Z90">
        <v>56</v>
      </c>
      <c r="AA90">
        <v>38</v>
      </c>
      <c r="AB90">
        <v>40</v>
      </c>
      <c r="AC90">
        <v>46</v>
      </c>
      <c r="AD90">
        <v>59</v>
      </c>
    </row>
    <row r="91" spans="3:30" x14ac:dyDescent="0.25">
      <c r="C91">
        <v>105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243</v>
      </c>
      <c r="Z91">
        <v>53</v>
      </c>
      <c r="AA91">
        <v>55</v>
      </c>
      <c r="AB91">
        <v>36</v>
      </c>
      <c r="AC91">
        <v>39</v>
      </c>
      <c r="AD91">
        <v>44</v>
      </c>
    </row>
    <row r="92" spans="3:30" x14ac:dyDescent="0.25">
      <c r="C92">
        <v>106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234</v>
      </c>
      <c r="AA92">
        <v>51</v>
      </c>
      <c r="AB92">
        <v>52</v>
      </c>
      <c r="AC92">
        <v>34</v>
      </c>
      <c r="AD92">
        <v>38</v>
      </c>
    </row>
    <row r="93" spans="3:30" x14ac:dyDescent="0.25">
      <c r="C93">
        <v>107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225</v>
      </c>
      <c r="AB93">
        <v>49</v>
      </c>
      <c r="AC93">
        <v>52</v>
      </c>
      <c r="AD93">
        <v>34</v>
      </c>
    </row>
    <row r="94" spans="3:30" x14ac:dyDescent="0.25">
      <c r="C94">
        <v>108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214</v>
      </c>
      <c r="AC94">
        <v>46</v>
      </c>
      <c r="AD94">
        <v>50</v>
      </c>
    </row>
    <row r="95" spans="3:30" x14ac:dyDescent="0.25">
      <c r="C95">
        <v>109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204</v>
      </c>
      <c r="AD95">
        <v>46</v>
      </c>
    </row>
    <row r="96" spans="3:30" x14ac:dyDescent="0.25">
      <c r="C96">
        <v>110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202</v>
      </c>
    </row>
    <row r="97" spans="3:30" x14ac:dyDescent="0.25">
      <c r="C97" t="s">
        <v>21</v>
      </c>
      <c r="D97">
        <v>0</v>
      </c>
      <c r="E97">
        <v>0</v>
      </c>
      <c r="F97">
        <v>0</v>
      </c>
      <c r="G97">
        <v>340</v>
      </c>
      <c r="H97">
        <v>677</v>
      </c>
      <c r="I97">
        <v>1035</v>
      </c>
      <c r="J97">
        <v>1384</v>
      </c>
      <c r="K97">
        <v>1745</v>
      </c>
      <c r="L97">
        <v>2080</v>
      </c>
      <c r="M97">
        <v>2427</v>
      </c>
      <c r="N97">
        <v>2813</v>
      </c>
      <c r="O97">
        <v>3173</v>
      </c>
      <c r="P97">
        <v>3561</v>
      </c>
      <c r="Q97">
        <v>3929</v>
      </c>
      <c r="R97">
        <v>4309</v>
      </c>
      <c r="S97">
        <v>4688</v>
      </c>
      <c r="T97">
        <v>5051</v>
      </c>
      <c r="U97">
        <v>5444</v>
      </c>
      <c r="V97">
        <v>5831</v>
      </c>
      <c r="W97">
        <v>6193</v>
      </c>
      <c r="X97">
        <v>6564</v>
      </c>
      <c r="Y97">
        <v>6962</v>
      </c>
      <c r="Z97">
        <v>7360</v>
      </c>
      <c r="AA97">
        <v>7760</v>
      </c>
      <c r="AB97">
        <v>8178</v>
      </c>
      <c r="AC97">
        <v>8587</v>
      </c>
      <c r="AD97">
        <v>8979</v>
      </c>
    </row>
    <row r="99" spans="3:30" x14ac:dyDescent="0.25">
      <c r="D99">
        <f>D4</f>
        <v>-2</v>
      </c>
      <c r="E99">
        <f t="shared" ref="E99:AD99" si="0">E4</f>
        <v>-1</v>
      </c>
      <c r="F99">
        <f t="shared" si="0"/>
        <v>0</v>
      </c>
      <c r="G99">
        <f t="shared" si="0"/>
        <v>1</v>
      </c>
      <c r="H99">
        <f t="shared" si="0"/>
        <v>2</v>
      </c>
      <c r="I99">
        <f t="shared" si="0"/>
        <v>3</v>
      </c>
      <c r="J99">
        <f t="shared" si="0"/>
        <v>4</v>
      </c>
      <c r="K99">
        <f t="shared" si="0"/>
        <v>5</v>
      </c>
      <c r="L99">
        <f t="shared" si="0"/>
        <v>6</v>
      </c>
      <c r="M99">
        <f t="shared" si="0"/>
        <v>7</v>
      </c>
      <c r="N99">
        <f t="shared" si="0"/>
        <v>8</v>
      </c>
      <c r="O99">
        <f t="shared" si="0"/>
        <v>9</v>
      </c>
      <c r="P99">
        <f t="shared" si="0"/>
        <v>10</v>
      </c>
      <c r="Q99">
        <f t="shared" si="0"/>
        <v>11</v>
      </c>
      <c r="R99">
        <f t="shared" si="0"/>
        <v>12</v>
      </c>
      <c r="S99">
        <f t="shared" si="0"/>
        <v>13</v>
      </c>
      <c r="T99">
        <f t="shared" si="0"/>
        <v>14</v>
      </c>
      <c r="U99">
        <f t="shared" si="0"/>
        <v>15</v>
      </c>
      <c r="V99">
        <f t="shared" si="0"/>
        <v>16</v>
      </c>
      <c r="W99">
        <f t="shared" si="0"/>
        <v>17</v>
      </c>
      <c r="X99">
        <f t="shared" si="0"/>
        <v>18</v>
      </c>
      <c r="Y99">
        <f t="shared" si="0"/>
        <v>19</v>
      </c>
      <c r="Z99">
        <f t="shared" si="0"/>
        <v>20</v>
      </c>
      <c r="AA99">
        <f t="shared" si="0"/>
        <v>21</v>
      </c>
      <c r="AB99">
        <f t="shared" si="0"/>
        <v>22</v>
      </c>
      <c r="AC99">
        <f t="shared" si="0"/>
        <v>23</v>
      </c>
      <c r="AD99">
        <f t="shared" si="0"/>
        <v>24</v>
      </c>
    </row>
    <row r="100" spans="3:30" x14ac:dyDescent="0.25">
      <c r="C100">
        <v>20</v>
      </c>
      <c r="F100">
        <f>F6/SUM(F$6:F$96)</f>
        <v>0</v>
      </c>
      <c r="G100">
        <f t="shared" ref="G100:AD100" si="1">G6/SUM(G$6:G$96)</f>
        <v>0</v>
      </c>
      <c r="H100">
        <f t="shared" si="1"/>
        <v>0</v>
      </c>
      <c r="I100">
        <f t="shared" si="1"/>
        <v>0</v>
      </c>
      <c r="J100">
        <f t="shared" si="1"/>
        <v>0</v>
      </c>
      <c r="K100">
        <f t="shared" si="1"/>
        <v>0</v>
      </c>
      <c r="L100">
        <f t="shared" si="1"/>
        <v>0</v>
      </c>
      <c r="M100">
        <f t="shared" si="1"/>
        <v>0</v>
      </c>
      <c r="N100">
        <f t="shared" si="1"/>
        <v>0</v>
      </c>
      <c r="O100">
        <f t="shared" si="1"/>
        <v>0</v>
      </c>
      <c r="P100">
        <f t="shared" si="1"/>
        <v>0</v>
      </c>
      <c r="Q100">
        <f t="shared" si="1"/>
        <v>0</v>
      </c>
      <c r="R100">
        <f t="shared" si="1"/>
        <v>0</v>
      </c>
      <c r="S100">
        <f t="shared" si="1"/>
        <v>0</v>
      </c>
      <c r="T100">
        <f t="shared" si="1"/>
        <v>0</v>
      </c>
      <c r="U100">
        <f t="shared" si="1"/>
        <v>0</v>
      </c>
      <c r="V100">
        <f t="shared" si="1"/>
        <v>0</v>
      </c>
      <c r="W100">
        <f t="shared" si="1"/>
        <v>0</v>
      </c>
      <c r="X100">
        <f t="shared" si="1"/>
        <v>0</v>
      </c>
      <c r="Y100">
        <f t="shared" si="1"/>
        <v>0</v>
      </c>
      <c r="Z100">
        <f t="shared" si="1"/>
        <v>0</v>
      </c>
      <c r="AA100">
        <f t="shared" si="1"/>
        <v>0</v>
      </c>
      <c r="AB100">
        <f t="shared" si="1"/>
        <v>0</v>
      </c>
      <c r="AC100">
        <f t="shared" si="1"/>
        <v>0</v>
      </c>
      <c r="AD100">
        <f t="shared" si="1"/>
        <v>0</v>
      </c>
    </row>
    <row r="101" spans="3:30" x14ac:dyDescent="0.25">
      <c r="C101">
        <v>21</v>
      </c>
      <c r="F101">
        <f t="shared" ref="F101:AD101" si="2">F7/SUM(F$6:F$96)</f>
        <v>3.7473702664796632E-2</v>
      </c>
      <c r="G101">
        <f t="shared" si="2"/>
        <v>1.8172287261925563E-2</v>
      </c>
      <c r="H101">
        <f t="shared" si="2"/>
        <v>1.8109790605546124E-2</v>
      </c>
      <c r="I101">
        <f t="shared" si="2"/>
        <v>1.8064179947023317E-2</v>
      </c>
      <c r="J101">
        <f t="shared" si="2"/>
        <v>1.8011776931070315E-2</v>
      </c>
      <c r="K101">
        <f t="shared" si="2"/>
        <v>1.7968986220897584E-2</v>
      </c>
      <c r="L101">
        <f t="shared" si="2"/>
        <v>1.790633608815427E-2</v>
      </c>
      <c r="M101">
        <f t="shared" si="2"/>
        <v>1.7853311016694563E-2</v>
      </c>
      <c r="N101">
        <f t="shared" si="2"/>
        <v>1.7830354464017831E-2</v>
      </c>
      <c r="O101">
        <f t="shared" si="2"/>
        <v>1.7787659811006114E-2</v>
      </c>
      <c r="P101">
        <f t="shared" si="2"/>
        <v>1.7766389066837498E-2</v>
      </c>
      <c r="Q101">
        <f t="shared" si="2"/>
        <v>1.7730043046498743E-2</v>
      </c>
      <c r="R101">
        <f t="shared" si="2"/>
        <v>1.7702880973658453E-2</v>
      </c>
      <c r="S101">
        <f t="shared" si="2"/>
        <v>1.7675050985723997E-2</v>
      </c>
      <c r="T101">
        <f t="shared" si="2"/>
        <v>1.7635338505235493E-2</v>
      </c>
      <c r="U101">
        <f t="shared" si="2"/>
        <v>1.7618160257496188E-2</v>
      </c>
      <c r="V101">
        <f t="shared" si="2"/>
        <v>1.7596548369358318E-2</v>
      </c>
      <c r="W101">
        <f t="shared" si="2"/>
        <v>1.7556446507702047E-2</v>
      </c>
      <c r="X101">
        <f t="shared" si="2"/>
        <v>1.7523167649536646E-2</v>
      </c>
      <c r="Y101">
        <f t="shared" si="2"/>
        <v>1.7509891405000422E-2</v>
      </c>
      <c r="Z101">
        <f t="shared" si="2"/>
        <v>1.7496635262449527E-2</v>
      </c>
      <c r="AA101">
        <f t="shared" si="2"/>
        <v>1.7484868863483525E-2</v>
      </c>
      <c r="AB101">
        <f t="shared" si="2"/>
        <v>1.7486338797814208E-2</v>
      </c>
      <c r="AC101">
        <f t="shared" si="2"/>
        <v>1.7481195108627137E-2</v>
      </c>
      <c r="AD101">
        <f t="shared" si="2"/>
        <v>1.7463582553209352E-2</v>
      </c>
    </row>
    <row r="102" spans="3:30" x14ac:dyDescent="0.25">
      <c r="C102">
        <v>22</v>
      </c>
      <c r="F102">
        <f t="shared" ref="F102:AD102" si="3">F8/SUM(F$6:F$96)</f>
        <v>1.9766830294530153E-2</v>
      </c>
      <c r="G102">
        <f t="shared" si="3"/>
        <v>3.7043508649309803E-2</v>
      </c>
      <c r="H102">
        <f t="shared" si="3"/>
        <v>1.8109790605546124E-2</v>
      </c>
      <c r="I102">
        <f t="shared" si="3"/>
        <v>1.8064179947023317E-2</v>
      </c>
      <c r="J102">
        <f t="shared" si="3"/>
        <v>1.8011776931070315E-2</v>
      </c>
      <c r="K102">
        <f t="shared" si="3"/>
        <v>1.7968986220897584E-2</v>
      </c>
      <c r="L102">
        <f t="shared" si="3"/>
        <v>1.790633608815427E-2</v>
      </c>
      <c r="M102">
        <f t="shared" si="3"/>
        <v>1.7853311016694563E-2</v>
      </c>
      <c r="N102">
        <f t="shared" si="3"/>
        <v>1.7830354464017831E-2</v>
      </c>
      <c r="O102">
        <f t="shared" si="3"/>
        <v>1.7787659811006114E-2</v>
      </c>
      <c r="P102">
        <f t="shared" si="3"/>
        <v>1.7766389066837498E-2</v>
      </c>
      <c r="Q102">
        <f t="shared" si="3"/>
        <v>1.7730043046498743E-2</v>
      </c>
      <c r="R102">
        <f t="shared" si="3"/>
        <v>1.7702880973658453E-2</v>
      </c>
      <c r="S102">
        <f t="shared" si="3"/>
        <v>1.7675050985723997E-2</v>
      </c>
      <c r="T102">
        <f t="shared" si="3"/>
        <v>1.7635338505235493E-2</v>
      </c>
      <c r="U102">
        <f t="shared" si="3"/>
        <v>1.7618160257496188E-2</v>
      </c>
      <c r="V102">
        <f t="shared" si="3"/>
        <v>1.7596548369358318E-2</v>
      </c>
      <c r="W102">
        <f t="shared" si="3"/>
        <v>1.7556446507702047E-2</v>
      </c>
      <c r="X102">
        <f t="shared" si="3"/>
        <v>1.7523167649536646E-2</v>
      </c>
      <c r="Y102">
        <f t="shared" si="3"/>
        <v>1.7509891405000422E-2</v>
      </c>
      <c r="Z102">
        <f t="shared" si="3"/>
        <v>1.7496635262449527E-2</v>
      </c>
      <c r="AA102">
        <f t="shared" si="3"/>
        <v>1.7484868863483525E-2</v>
      </c>
      <c r="AB102">
        <f t="shared" si="3"/>
        <v>1.7486338797814208E-2</v>
      </c>
      <c r="AC102">
        <f t="shared" si="3"/>
        <v>1.7481195108627137E-2</v>
      </c>
      <c r="AD102">
        <f t="shared" si="3"/>
        <v>1.7463582553209352E-2</v>
      </c>
    </row>
    <row r="103" spans="3:30" x14ac:dyDescent="0.25">
      <c r="C103">
        <v>23</v>
      </c>
      <c r="F103">
        <f t="shared" ref="F103:AD103" si="4">F9/SUM(F$6:F$96)</f>
        <v>1.836430575035063E-2</v>
      </c>
      <c r="G103">
        <f t="shared" si="4"/>
        <v>1.9570155512842916E-2</v>
      </c>
      <c r="H103">
        <f t="shared" si="4"/>
        <v>3.6611379565539157E-2</v>
      </c>
      <c r="I103">
        <f t="shared" si="4"/>
        <v>1.789048590907117E-2</v>
      </c>
      <c r="J103">
        <f t="shared" si="4"/>
        <v>1.7881884308971252E-2</v>
      </c>
      <c r="K103">
        <f t="shared" si="4"/>
        <v>1.7709818150403869E-2</v>
      </c>
      <c r="L103">
        <f t="shared" si="4"/>
        <v>1.7734159779614324E-2</v>
      </c>
      <c r="M103">
        <f t="shared" si="4"/>
        <v>1.772456117763186E-2</v>
      </c>
      <c r="N103">
        <f t="shared" si="4"/>
        <v>1.7573185890017572E-2</v>
      </c>
      <c r="O103">
        <f t="shared" si="4"/>
        <v>1.7402830632402617E-2</v>
      </c>
      <c r="P103">
        <f t="shared" si="4"/>
        <v>1.7552850736707239E-2</v>
      </c>
      <c r="Q103">
        <f t="shared" si="4"/>
        <v>1.7431700976004775E-2</v>
      </c>
      <c r="R103">
        <f t="shared" si="4"/>
        <v>1.7447550959615303E-2</v>
      </c>
      <c r="S103">
        <f t="shared" si="4"/>
        <v>1.7462610469068662E-2</v>
      </c>
      <c r="T103">
        <f t="shared" si="4"/>
        <v>1.7550553223960319E-2</v>
      </c>
      <c r="U103">
        <f t="shared" si="4"/>
        <v>1.7364052176859223E-2</v>
      </c>
      <c r="V103">
        <f t="shared" si="4"/>
        <v>1.730045260352777E-2</v>
      </c>
      <c r="W103">
        <f t="shared" si="4"/>
        <v>1.7303228529225573E-2</v>
      </c>
      <c r="X103">
        <f t="shared" si="4"/>
        <v>1.7396798652064026E-2</v>
      </c>
      <c r="Y103">
        <f t="shared" si="4"/>
        <v>1.7425709234784072E-2</v>
      </c>
      <c r="Z103">
        <f t="shared" si="4"/>
        <v>1.7370457604306864E-2</v>
      </c>
      <c r="AA103">
        <f t="shared" si="4"/>
        <v>1.7064559515803632E-2</v>
      </c>
      <c r="AB103">
        <f t="shared" si="4"/>
        <v>1.736023539302228E-2</v>
      </c>
      <c r="AC103">
        <f t="shared" si="4"/>
        <v>1.7313106694121106E-2</v>
      </c>
      <c r="AD103">
        <f t="shared" si="4"/>
        <v>1.7253683724444819E-2</v>
      </c>
    </row>
    <row r="104" spans="3:30" x14ac:dyDescent="0.25">
      <c r="C104">
        <v>24</v>
      </c>
      <c r="F104">
        <f t="shared" ref="F104:AD104" si="5">F10/SUM(F$6:F$96)</f>
        <v>1.8934081346423562E-2</v>
      </c>
      <c r="G104">
        <f t="shared" si="5"/>
        <v>1.804123711340206E-2</v>
      </c>
      <c r="H104">
        <f t="shared" si="5"/>
        <v>1.9241652518392757E-2</v>
      </c>
      <c r="I104">
        <f t="shared" si="5"/>
        <v>3.6215206913022713E-2</v>
      </c>
      <c r="J104">
        <f t="shared" si="5"/>
        <v>1.762209906477312E-2</v>
      </c>
      <c r="K104">
        <f t="shared" si="5"/>
        <v>1.7493844758325775E-2</v>
      </c>
      <c r="L104">
        <f t="shared" si="5"/>
        <v>1.7389807162534434E-2</v>
      </c>
      <c r="M104">
        <f t="shared" si="5"/>
        <v>1.7424144886485558E-2</v>
      </c>
      <c r="N104">
        <f t="shared" si="5"/>
        <v>1.7616047319017617E-2</v>
      </c>
      <c r="O104">
        <f t="shared" si="5"/>
        <v>1.7402830632402617E-2</v>
      </c>
      <c r="P104">
        <f t="shared" si="5"/>
        <v>1.729660474055093E-2</v>
      </c>
      <c r="Q104">
        <f t="shared" si="5"/>
        <v>1.7133358905510803E-2</v>
      </c>
      <c r="R104">
        <f t="shared" si="5"/>
        <v>1.7277330950253203E-2</v>
      </c>
      <c r="S104">
        <f t="shared" si="5"/>
        <v>1.7292658055744391E-2</v>
      </c>
      <c r="T104">
        <f t="shared" si="5"/>
        <v>1.7296197380134808E-2</v>
      </c>
      <c r="U104">
        <f t="shared" si="5"/>
        <v>1.7321700830086398E-2</v>
      </c>
      <c r="V104">
        <f t="shared" si="5"/>
        <v>1.7258153208409118E-2</v>
      </c>
      <c r="W104">
        <f t="shared" si="5"/>
        <v>1.717661953998734E-2</v>
      </c>
      <c r="X104">
        <f t="shared" si="5"/>
        <v>1.7101937657961246E-2</v>
      </c>
      <c r="Y104">
        <f t="shared" si="5"/>
        <v>1.7257344894351375E-2</v>
      </c>
      <c r="Z104">
        <f t="shared" si="5"/>
        <v>1.7118102288021533E-2</v>
      </c>
      <c r="AA104">
        <f t="shared" si="5"/>
        <v>1.714862138533961E-2</v>
      </c>
      <c r="AB104">
        <f t="shared" si="5"/>
        <v>1.685582177385456E-2</v>
      </c>
      <c r="AC104">
        <f t="shared" si="5"/>
        <v>1.7187040383241585E-2</v>
      </c>
      <c r="AD104">
        <f t="shared" si="5"/>
        <v>1.691784559842156E-2</v>
      </c>
    </row>
    <row r="105" spans="3:30" x14ac:dyDescent="0.25">
      <c r="C105">
        <v>25</v>
      </c>
      <c r="F105">
        <f t="shared" ref="F105:AD105" si="6">F11/SUM(F$6:F$96)</f>
        <v>1.9240883590462832E-2</v>
      </c>
      <c r="G105">
        <f t="shared" si="6"/>
        <v>1.8696487856019569E-2</v>
      </c>
      <c r="H105">
        <f t="shared" si="6"/>
        <v>1.7892124853075616E-2</v>
      </c>
      <c r="I105">
        <f t="shared" si="6"/>
        <v>1.884580311780798E-2</v>
      </c>
      <c r="J105">
        <f t="shared" si="6"/>
        <v>3.5590578455143747E-2</v>
      </c>
      <c r="K105">
        <f t="shared" si="6"/>
        <v>1.7407455401494534E-2</v>
      </c>
      <c r="L105">
        <f t="shared" si="6"/>
        <v>1.7260674931129476E-2</v>
      </c>
      <c r="M105">
        <f t="shared" si="6"/>
        <v>1.6994978756276556E-2</v>
      </c>
      <c r="N105">
        <f t="shared" si="6"/>
        <v>1.7230294458017232E-2</v>
      </c>
      <c r="O105">
        <f t="shared" si="6"/>
        <v>1.7360071834780007E-2</v>
      </c>
      <c r="P105">
        <f t="shared" si="6"/>
        <v>1.7125774076446724E-2</v>
      </c>
      <c r="Q105">
        <f t="shared" si="6"/>
        <v>1.7175979201295658E-2</v>
      </c>
      <c r="R105">
        <f t="shared" si="6"/>
        <v>1.6936890931529003E-2</v>
      </c>
      <c r="S105">
        <f t="shared" si="6"/>
        <v>1.6910265125764785E-2</v>
      </c>
      <c r="T105">
        <f t="shared" si="6"/>
        <v>1.7126626817584468E-2</v>
      </c>
      <c r="U105">
        <f t="shared" si="6"/>
        <v>1.6982890055903779E-2</v>
      </c>
      <c r="V105">
        <f t="shared" si="6"/>
        <v>1.7004356837697222E-2</v>
      </c>
      <c r="W105">
        <f t="shared" si="6"/>
        <v>1.7007807554336358E-2</v>
      </c>
      <c r="X105">
        <f t="shared" si="6"/>
        <v>1.6975568660488626E-2</v>
      </c>
      <c r="Y105">
        <f t="shared" si="6"/>
        <v>1.7004798383702332E-2</v>
      </c>
      <c r="Z105">
        <f t="shared" si="6"/>
        <v>1.7118102288021533E-2</v>
      </c>
      <c r="AA105">
        <f t="shared" si="6"/>
        <v>1.7064559515803632E-2</v>
      </c>
      <c r="AB105">
        <f t="shared" si="6"/>
        <v>1.7023959646910468E-2</v>
      </c>
      <c r="AC105">
        <f t="shared" si="6"/>
        <v>1.6724797243350003E-2</v>
      </c>
      <c r="AD105">
        <f t="shared" si="6"/>
        <v>1.691784559842156E-2</v>
      </c>
    </row>
    <row r="106" spans="3:30" x14ac:dyDescent="0.25">
      <c r="C106">
        <v>26</v>
      </c>
      <c r="F106">
        <f t="shared" ref="F106:AD106" si="7">F12/SUM(F$6:F$96)</f>
        <v>1.9284712482468443E-2</v>
      </c>
      <c r="G106">
        <f t="shared" si="7"/>
        <v>1.887122138738424E-2</v>
      </c>
      <c r="H106">
        <f t="shared" si="7"/>
        <v>1.8370989508510731E-2</v>
      </c>
      <c r="I106">
        <f t="shared" si="7"/>
        <v>1.7716791871119023E-2</v>
      </c>
      <c r="J106">
        <f t="shared" si="7"/>
        <v>1.8661240041565639E-2</v>
      </c>
      <c r="K106">
        <f t="shared" si="7"/>
        <v>3.5246857587145262E-2</v>
      </c>
      <c r="L106">
        <f t="shared" si="7"/>
        <v>1.7131542699724518E-2</v>
      </c>
      <c r="M106">
        <f t="shared" si="7"/>
        <v>1.6909145530234752E-2</v>
      </c>
      <c r="N106">
        <f t="shared" si="7"/>
        <v>1.6715957310016717E-2</v>
      </c>
      <c r="O106">
        <f t="shared" si="7"/>
        <v>1.7103519049044343E-2</v>
      </c>
      <c r="P106">
        <f t="shared" si="7"/>
        <v>1.6997651078368568E-2</v>
      </c>
      <c r="Q106">
        <f t="shared" si="7"/>
        <v>1.6749776243447128E-2</v>
      </c>
      <c r="R106">
        <f t="shared" si="7"/>
        <v>1.6979445933869526E-2</v>
      </c>
      <c r="S106">
        <f t="shared" si="7"/>
        <v>1.6740312712440517E-2</v>
      </c>
      <c r="T106">
        <f t="shared" si="7"/>
        <v>1.6702700411208613E-2</v>
      </c>
      <c r="U106">
        <f t="shared" si="7"/>
        <v>1.6898187362358125E-2</v>
      </c>
      <c r="V106">
        <f t="shared" si="7"/>
        <v>1.6792859862103972E-2</v>
      </c>
      <c r="W106">
        <f t="shared" si="7"/>
        <v>1.6754589575859884E-2</v>
      </c>
      <c r="X106">
        <f t="shared" si="7"/>
        <v>1.6807076663858465E-2</v>
      </c>
      <c r="Y106">
        <f t="shared" si="7"/>
        <v>1.687852512837781E-2</v>
      </c>
      <c r="Z106">
        <f t="shared" si="7"/>
        <v>1.6823687752355317E-2</v>
      </c>
      <c r="AA106">
        <f t="shared" si="7"/>
        <v>1.7022528581035642E-2</v>
      </c>
      <c r="AB106">
        <f t="shared" si="7"/>
        <v>1.6939890710382512E-2</v>
      </c>
      <c r="AC106">
        <f t="shared" si="7"/>
        <v>1.6640753036096988E-2</v>
      </c>
      <c r="AD106">
        <f t="shared" si="7"/>
        <v>1.6665967003904117E-2</v>
      </c>
    </row>
    <row r="107" spans="3:30" x14ac:dyDescent="0.25">
      <c r="C107">
        <v>27</v>
      </c>
      <c r="F107">
        <f t="shared" ref="F107:AD107" si="8">F13/SUM(F$6:F$96)</f>
        <v>1.8013674614305749E-2</v>
      </c>
      <c r="G107">
        <f t="shared" si="8"/>
        <v>1.8958588153066572E-2</v>
      </c>
      <c r="H107">
        <f t="shared" si="8"/>
        <v>1.8545122110487137E-2</v>
      </c>
      <c r="I107">
        <f t="shared" si="8"/>
        <v>1.7977332928047245E-2</v>
      </c>
      <c r="J107">
        <f t="shared" si="8"/>
        <v>1.7362313820574991E-2</v>
      </c>
      <c r="K107">
        <f t="shared" si="8"/>
        <v>1.8444127683469397E-2</v>
      </c>
      <c r="L107">
        <f t="shared" si="8"/>
        <v>3.4779614325068868E-2</v>
      </c>
      <c r="M107">
        <f t="shared" si="8"/>
        <v>1.6909145530234752E-2</v>
      </c>
      <c r="N107">
        <f t="shared" si="8"/>
        <v>1.6544511594016546E-2</v>
      </c>
      <c r="O107">
        <f t="shared" si="8"/>
        <v>1.65476546799504E-2</v>
      </c>
      <c r="P107">
        <f t="shared" si="8"/>
        <v>1.6997651078368568E-2</v>
      </c>
      <c r="Q107">
        <f t="shared" si="8"/>
        <v>1.6707155947662276E-2</v>
      </c>
      <c r="R107">
        <f t="shared" si="8"/>
        <v>1.6468785905783226E-2</v>
      </c>
      <c r="S107">
        <f t="shared" si="8"/>
        <v>1.6825288919102652E-2</v>
      </c>
      <c r="T107">
        <f t="shared" si="8"/>
        <v>1.6321166645470345E-2</v>
      </c>
      <c r="U107">
        <f t="shared" si="8"/>
        <v>1.6559376588175505E-2</v>
      </c>
      <c r="V107">
        <f t="shared" si="8"/>
        <v>1.6496764096273424E-2</v>
      </c>
      <c r="W107">
        <f t="shared" si="8"/>
        <v>1.6712386579447142E-2</v>
      </c>
      <c r="X107">
        <f t="shared" si="8"/>
        <v>1.6427969671440605E-2</v>
      </c>
      <c r="Y107">
        <f t="shared" si="8"/>
        <v>1.6752251873053289E-2</v>
      </c>
      <c r="Z107">
        <f t="shared" si="8"/>
        <v>1.6739569313593539E-2</v>
      </c>
      <c r="AA107">
        <f t="shared" si="8"/>
        <v>1.6434095494283794E-2</v>
      </c>
      <c r="AB107">
        <f t="shared" si="8"/>
        <v>1.6813787305590584E-2</v>
      </c>
      <c r="AC107">
        <f t="shared" si="8"/>
        <v>1.6766819346976509E-2</v>
      </c>
      <c r="AD107">
        <f t="shared" si="8"/>
        <v>1.6456068175139584E-2</v>
      </c>
    </row>
    <row r="108" spans="3:30" x14ac:dyDescent="0.25">
      <c r="C108">
        <v>28</v>
      </c>
      <c r="F108">
        <f t="shared" ref="F108:AD108" si="9">F14/SUM(F$6:F$96)</f>
        <v>1.8101332398316971E-2</v>
      </c>
      <c r="G108">
        <f t="shared" si="9"/>
        <v>1.7691770050672725E-2</v>
      </c>
      <c r="H108">
        <f t="shared" si="9"/>
        <v>1.8806321013451744E-2</v>
      </c>
      <c r="I108">
        <f t="shared" si="9"/>
        <v>1.8368144513439575E-2</v>
      </c>
      <c r="J108">
        <f t="shared" si="9"/>
        <v>1.7665396605472811E-2</v>
      </c>
      <c r="K108">
        <f t="shared" si="9"/>
        <v>1.71050926525852E-2</v>
      </c>
      <c r="L108">
        <f t="shared" si="9"/>
        <v>1.8164600550964187E-2</v>
      </c>
      <c r="M108">
        <f t="shared" si="9"/>
        <v>3.4075790738594909E-2</v>
      </c>
      <c r="N108">
        <f t="shared" si="9"/>
        <v>1.663023445201663E-2</v>
      </c>
      <c r="O108">
        <f t="shared" si="9"/>
        <v>1.6333860691837346E-2</v>
      </c>
      <c r="P108">
        <f t="shared" si="9"/>
        <v>1.6228913089899637E-2</v>
      </c>
      <c r="Q108">
        <f t="shared" si="9"/>
        <v>1.6877637130801686E-2</v>
      </c>
      <c r="R108">
        <f t="shared" si="9"/>
        <v>1.6639005915145326E-2</v>
      </c>
      <c r="S108">
        <f t="shared" si="9"/>
        <v>1.6230455472467709E-2</v>
      </c>
      <c r="T108">
        <f t="shared" si="9"/>
        <v>1.6405951926745516E-2</v>
      </c>
      <c r="U108">
        <f t="shared" si="9"/>
        <v>1.6220565813992886E-2</v>
      </c>
      <c r="V108">
        <f t="shared" si="9"/>
        <v>1.6454464701154775E-2</v>
      </c>
      <c r="W108">
        <f t="shared" si="9"/>
        <v>1.6248153618906941E-2</v>
      </c>
      <c r="X108">
        <f t="shared" si="9"/>
        <v>1.6596461668070765E-2</v>
      </c>
      <c r="Y108">
        <f t="shared" si="9"/>
        <v>1.6415523192187895E-2</v>
      </c>
      <c r="Z108">
        <f t="shared" si="9"/>
        <v>1.6529273216689098E-2</v>
      </c>
      <c r="AA108">
        <f t="shared" si="9"/>
        <v>1.6602219233355749E-2</v>
      </c>
      <c r="AB108">
        <f t="shared" si="9"/>
        <v>1.6267339218158889E-2</v>
      </c>
      <c r="AC108">
        <f t="shared" si="9"/>
        <v>1.6514686725217463E-2</v>
      </c>
      <c r="AD108">
        <f t="shared" si="9"/>
        <v>1.6498047940892491E-2</v>
      </c>
    </row>
    <row r="109" spans="3:30" x14ac:dyDescent="0.25">
      <c r="C109">
        <v>29</v>
      </c>
      <c r="F109">
        <f t="shared" ref="F109:AD109" si="10">F15/SUM(F$6:F$96)</f>
        <v>1.726858345021038E-2</v>
      </c>
      <c r="G109">
        <f t="shared" si="10"/>
        <v>1.7866503582037393E-2</v>
      </c>
      <c r="H109">
        <f t="shared" si="10"/>
        <v>1.7630925950111009E-2</v>
      </c>
      <c r="I109">
        <f t="shared" si="10"/>
        <v>1.8541838551391722E-2</v>
      </c>
      <c r="J109">
        <f t="shared" si="10"/>
        <v>1.8098372012469693E-2</v>
      </c>
      <c r="K109">
        <f t="shared" si="10"/>
        <v>1.7493844758325775E-2</v>
      </c>
      <c r="L109">
        <f t="shared" si="10"/>
        <v>1.6830234159779613E-2</v>
      </c>
      <c r="M109">
        <f t="shared" si="10"/>
        <v>1.8067894081799065E-2</v>
      </c>
      <c r="N109">
        <f t="shared" si="10"/>
        <v>3.3731944623033729E-2</v>
      </c>
      <c r="O109">
        <f t="shared" si="10"/>
        <v>1.65476546799504E-2</v>
      </c>
      <c r="P109">
        <f t="shared" si="10"/>
        <v>1.6100790091821481E-2</v>
      </c>
      <c r="Q109">
        <f t="shared" si="10"/>
        <v>1.6153092102459191E-2</v>
      </c>
      <c r="R109">
        <f t="shared" si="10"/>
        <v>1.6639005915145326E-2</v>
      </c>
      <c r="S109">
        <f t="shared" si="10"/>
        <v>1.6230455472467709E-2</v>
      </c>
      <c r="T109">
        <f t="shared" si="10"/>
        <v>1.6066810801644835E-2</v>
      </c>
      <c r="U109">
        <f t="shared" si="10"/>
        <v>1.6262917160765712E-2</v>
      </c>
      <c r="V109">
        <f t="shared" si="10"/>
        <v>1.6031470749968274E-2</v>
      </c>
      <c r="W109">
        <f t="shared" si="10"/>
        <v>1.6290356615319686E-2</v>
      </c>
      <c r="X109">
        <f t="shared" si="10"/>
        <v>1.6048862679022745E-2</v>
      </c>
      <c r="Y109">
        <f t="shared" si="10"/>
        <v>1.645761427729607E-2</v>
      </c>
      <c r="Z109">
        <f t="shared" si="10"/>
        <v>1.6192799461641993E-2</v>
      </c>
      <c r="AA109">
        <f t="shared" si="10"/>
        <v>1.6350033624747816E-2</v>
      </c>
      <c r="AB109">
        <f t="shared" si="10"/>
        <v>1.6519546027742749E-2</v>
      </c>
      <c r="AC109">
        <f t="shared" si="10"/>
        <v>1.6052443585325881E-2</v>
      </c>
      <c r="AD109">
        <f t="shared" si="10"/>
        <v>1.6246169346375048E-2</v>
      </c>
    </row>
    <row r="110" spans="3:30" x14ac:dyDescent="0.25">
      <c r="C110">
        <v>30</v>
      </c>
      <c r="F110">
        <f t="shared" ref="F110:AD110" si="11">F16/SUM(F$6:F$96)</f>
        <v>2.0073632538569426E-2</v>
      </c>
      <c r="G110">
        <f t="shared" si="11"/>
        <v>1.7123886073737549E-2</v>
      </c>
      <c r="H110">
        <f t="shared" si="11"/>
        <v>1.7674459100605111E-2</v>
      </c>
      <c r="I110">
        <f t="shared" si="11"/>
        <v>1.7195709757262582E-2</v>
      </c>
      <c r="J110">
        <f t="shared" si="11"/>
        <v>1.8314859715968131E-2</v>
      </c>
      <c r="K110">
        <f t="shared" si="11"/>
        <v>1.7753012828819491E-2</v>
      </c>
      <c r="L110">
        <f t="shared" si="11"/>
        <v>1.7260674931129476E-2</v>
      </c>
      <c r="M110">
        <f t="shared" si="11"/>
        <v>1.6780395691172054E-2</v>
      </c>
      <c r="N110">
        <f t="shared" si="11"/>
        <v>1.7701770177017701E-2</v>
      </c>
      <c r="O110">
        <f t="shared" si="11"/>
        <v>3.3138068157523411E-2</v>
      </c>
      <c r="P110">
        <f t="shared" si="11"/>
        <v>1.6442451420029897E-2</v>
      </c>
      <c r="Q110">
        <f t="shared" si="11"/>
        <v>1.5812129736180368E-2</v>
      </c>
      <c r="R110">
        <f t="shared" si="11"/>
        <v>1.5745350865994299E-2</v>
      </c>
      <c r="S110">
        <f t="shared" si="11"/>
        <v>1.6272943575798775E-2</v>
      </c>
      <c r="T110">
        <f t="shared" si="11"/>
        <v>1.5982025520369664E-2</v>
      </c>
      <c r="U110">
        <f t="shared" si="11"/>
        <v>1.5754700999491784E-2</v>
      </c>
      <c r="V110">
        <f t="shared" si="11"/>
        <v>1.6031470749968274E-2</v>
      </c>
      <c r="W110">
        <f t="shared" si="11"/>
        <v>1.5826123654779489E-2</v>
      </c>
      <c r="X110">
        <f t="shared" si="11"/>
        <v>1.6217354675652905E-2</v>
      </c>
      <c r="Y110">
        <f t="shared" si="11"/>
        <v>1.5910430170889805E-2</v>
      </c>
      <c r="Z110">
        <f t="shared" si="11"/>
        <v>1.6276917900403767E-2</v>
      </c>
      <c r="AA110">
        <f t="shared" si="11"/>
        <v>1.6055817081371888E-2</v>
      </c>
      <c r="AB110">
        <f t="shared" si="11"/>
        <v>1.5973097940311057E-2</v>
      </c>
      <c r="AC110">
        <f t="shared" si="11"/>
        <v>1.6346598310711433E-2</v>
      </c>
      <c r="AD110">
        <f t="shared" si="11"/>
        <v>1.5910331220351792E-2</v>
      </c>
    </row>
    <row r="111" spans="3:30" x14ac:dyDescent="0.25">
      <c r="C111">
        <v>31</v>
      </c>
      <c r="F111">
        <f t="shared" ref="F111:AD111" si="12">F17/SUM(F$6:F$96)</f>
        <v>1.8013674614305749E-2</v>
      </c>
      <c r="G111">
        <f t="shared" si="12"/>
        <v>1.9744889044207584E-2</v>
      </c>
      <c r="H111">
        <f t="shared" si="12"/>
        <v>1.693439554220539E-2</v>
      </c>
      <c r="I111">
        <f t="shared" si="12"/>
        <v>1.7369403795214729E-2</v>
      </c>
      <c r="J111">
        <f t="shared" si="12"/>
        <v>1.7015933494977487E-2</v>
      </c>
      <c r="K111">
        <f t="shared" si="12"/>
        <v>1.7968986220897584E-2</v>
      </c>
      <c r="L111">
        <f t="shared" si="12"/>
        <v>1.7518939393939392E-2</v>
      </c>
      <c r="M111">
        <f t="shared" si="12"/>
        <v>1.6909145530234752E-2</v>
      </c>
      <c r="N111">
        <f t="shared" si="12"/>
        <v>1.663023445201663E-2</v>
      </c>
      <c r="O111">
        <f t="shared" si="12"/>
        <v>1.753110702527045E-2</v>
      </c>
      <c r="P111">
        <f t="shared" si="12"/>
        <v>3.2500533845825325E-2</v>
      </c>
      <c r="Q111">
        <f t="shared" si="12"/>
        <v>1.611047180667434E-2</v>
      </c>
      <c r="R111">
        <f t="shared" si="12"/>
        <v>1.5660240861313249E-2</v>
      </c>
      <c r="S111">
        <f t="shared" si="12"/>
        <v>1.5508157715839565E-2</v>
      </c>
      <c r="T111">
        <f t="shared" si="12"/>
        <v>1.5982025520369664E-2</v>
      </c>
      <c r="U111">
        <f t="shared" si="12"/>
        <v>1.579705234626461E-2</v>
      </c>
      <c r="V111">
        <f t="shared" si="12"/>
        <v>1.5650776193900429E-2</v>
      </c>
      <c r="W111">
        <f t="shared" si="12"/>
        <v>1.5699514665541252E-2</v>
      </c>
      <c r="X111">
        <f t="shared" si="12"/>
        <v>1.5711878685762425E-2</v>
      </c>
      <c r="Y111">
        <f t="shared" si="12"/>
        <v>1.6078794511322502E-2</v>
      </c>
      <c r="Z111">
        <f t="shared" si="12"/>
        <v>1.5730148048452221E-2</v>
      </c>
      <c r="AA111">
        <f t="shared" si="12"/>
        <v>1.6013786146603901E-2</v>
      </c>
      <c r="AB111">
        <f t="shared" si="12"/>
        <v>1.6057166876839009E-2</v>
      </c>
      <c r="AC111">
        <f t="shared" si="12"/>
        <v>1.5884355170819851E-2</v>
      </c>
      <c r="AD111">
        <f t="shared" si="12"/>
        <v>1.6246169346375048E-2</v>
      </c>
    </row>
    <row r="112" spans="3:30" x14ac:dyDescent="0.25">
      <c r="C112">
        <v>32</v>
      </c>
      <c r="F112">
        <f t="shared" ref="F112:AD112" si="13">F18/SUM(F$6:F$96)</f>
        <v>1.7926016830294531E-2</v>
      </c>
      <c r="G112">
        <f t="shared" si="13"/>
        <v>1.7779136816355057E-2</v>
      </c>
      <c r="H112">
        <f t="shared" si="13"/>
        <v>1.9589917722345567E-2</v>
      </c>
      <c r="I112">
        <f t="shared" si="13"/>
        <v>1.6718051152894178E-2</v>
      </c>
      <c r="J112">
        <f t="shared" si="13"/>
        <v>1.7102528576376862E-2</v>
      </c>
      <c r="K112">
        <f t="shared" si="13"/>
        <v>1.6716340546844628E-2</v>
      </c>
      <c r="L112">
        <f t="shared" si="13"/>
        <v>1.7777203856749312E-2</v>
      </c>
      <c r="M112">
        <f t="shared" si="13"/>
        <v>1.7295395047422859E-2</v>
      </c>
      <c r="N112">
        <f t="shared" si="13"/>
        <v>1.663023445201663E-2</v>
      </c>
      <c r="O112">
        <f t="shared" si="13"/>
        <v>1.6504895882327789E-2</v>
      </c>
      <c r="P112">
        <f t="shared" si="13"/>
        <v>1.733931240657698E-2</v>
      </c>
      <c r="Q112">
        <f t="shared" si="13"/>
        <v>3.2135703021778969E-2</v>
      </c>
      <c r="R112">
        <f t="shared" si="13"/>
        <v>1.5830460870675349E-2</v>
      </c>
      <c r="S112">
        <f t="shared" si="13"/>
        <v>1.5465669612508498E-2</v>
      </c>
      <c r="T112">
        <f t="shared" si="13"/>
        <v>1.5303743270168299E-2</v>
      </c>
      <c r="U112">
        <f t="shared" si="13"/>
        <v>1.579705234626461E-2</v>
      </c>
      <c r="V112">
        <f t="shared" si="13"/>
        <v>1.5566177403663128E-2</v>
      </c>
      <c r="W112">
        <f t="shared" si="13"/>
        <v>1.5446296687064782E-2</v>
      </c>
      <c r="X112">
        <f t="shared" si="13"/>
        <v>1.5543386689132266E-2</v>
      </c>
      <c r="Y112">
        <f t="shared" si="13"/>
        <v>1.5657883660240762E-2</v>
      </c>
      <c r="Z112">
        <f t="shared" si="13"/>
        <v>1.5898384925975773E-2</v>
      </c>
      <c r="AA112">
        <f t="shared" si="13"/>
        <v>1.5509414929388029E-2</v>
      </c>
      <c r="AB112">
        <f t="shared" si="13"/>
        <v>1.5931063472047077E-2</v>
      </c>
      <c r="AC112">
        <f t="shared" si="13"/>
        <v>1.5884355170819851E-2</v>
      </c>
      <c r="AD112">
        <f t="shared" si="13"/>
        <v>1.5742412157340162E-2</v>
      </c>
    </row>
    <row r="113" spans="3:31" x14ac:dyDescent="0.25">
      <c r="C113">
        <v>33</v>
      </c>
      <c r="F113">
        <f t="shared" ref="F113:AD113" si="14">F19/SUM(F$6:F$96)</f>
        <v>1.7619214586255261E-2</v>
      </c>
      <c r="G113">
        <f t="shared" si="14"/>
        <v>1.7560719902149222E-2</v>
      </c>
      <c r="H113">
        <f t="shared" si="14"/>
        <v>1.7543859649122806E-2</v>
      </c>
      <c r="I113">
        <f t="shared" si="14"/>
        <v>1.9323461722176385E-2</v>
      </c>
      <c r="J113">
        <f t="shared" si="14"/>
        <v>1.6539660547280913E-2</v>
      </c>
      <c r="K113">
        <f t="shared" si="14"/>
        <v>1.6845924582091488E-2</v>
      </c>
      <c r="L113">
        <f t="shared" si="14"/>
        <v>1.6528925619834711E-2</v>
      </c>
      <c r="M113">
        <f t="shared" si="14"/>
        <v>1.7509978112527358E-2</v>
      </c>
      <c r="N113">
        <f t="shared" si="14"/>
        <v>1.705884874201706E-2</v>
      </c>
      <c r="O113">
        <f t="shared" si="14"/>
        <v>1.6333860691837346E-2</v>
      </c>
      <c r="P113">
        <f t="shared" si="14"/>
        <v>1.631432842195174E-2</v>
      </c>
      <c r="Q113">
        <f t="shared" si="14"/>
        <v>1.7133358905510803E-2</v>
      </c>
      <c r="R113">
        <f t="shared" si="14"/>
        <v>3.1746031746031744E-2</v>
      </c>
      <c r="S113">
        <f t="shared" si="14"/>
        <v>1.5635622025832768E-2</v>
      </c>
      <c r="T113">
        <f t="shared" si="14"/>
        <v>1.5388528551443469E-2</v>
      </c>
      <c r="U113">
        <f t="shared" si="14"/>
        <v>1.5034728104353719E-2</v>
      </c>
      <c r="V113">
        <f t="shared" si="14"/>
        <v>1.5439279218307178E-2</v>
      </c>
      <c r="W113">
        <f t="shared" si="14"/>
        <v>1.5319687697826545E-2</v>
      </c>
      <c r="X113">
        <f t="shared" si="14"/>
        <v>1.5332771693344566E-2</v>
      </c>
      <c r="Y113">
        <f t="shared" si="14"/>
        <v>1.5321154979375369E-2</v>
      </c>
      <c r="Z113">
        <f t="shared" si="14"/>
        <v>1.5561911170928668E-2</v>
      </c>
      <c r="AA113">
        <f t="shared" si="14"/>
        <v>1.5677538668459987E-2</v>
      </c>
      <c r="AB113">
        <f t="shared" si="14"/>
        <v>1.5384615384615385E-2</v>
      </c>
      <c r="AC113">
        <f t="shared" si="14"/>
        <v>1.575828885994033E-2</v>
      </c>
      <c r="AD113">
        <f t="shared" si="14"/>
        <v>1.5616472860081441E-2</v>
      </c>
    </row>
    <row r="114" spans="3:31" x14ac:dyDescent="0.25">
      <c r="C114">
        <v>34</v>
      </c>
      <c r="F114">
        <f t="shared" ref="F114:AD114" si="15">F20/SUM(F$6:F$96)</f>
        <v>1.7838359046283309E-2</v>
      </c>
      <c r="G114">
        <f t="shared" si="15"/>
        <v>1.7385986370784555E-2</v>
      </c>
      <c r="H114">
        <f t="shared" si="15"/>
        <v>1.7239127595664098E-2</v>
      </c>
      <c r="I114">
        <f t="shared" si="15"/>
        <v>1.7412827304702765E-2</v>
      </c>
      <c r="J114">
        <f t="shared" si="15"/>
        <v>1.9007620367163146E-2</v>
      </c>
      <c r="K114">
        <f t="shared" si="15"/>
        <v>1.6154809727441578E-2</v>
      </c>
      <c r="L114">
        <f t="shared" si="15"/>
        <v>1.6571969696969696E-2</v>
      </c>
      <c r="M114">
        <f t="shared" si="15"/>
        <v>1.6308312947942147E-2</v>
      </c>
      <c r="N114">
        <f t="shared" si="15"/>
        <v>1.7444601603017446E-2</v>
      </c>
      <c r="O114">
        <f t="shared" si="15"/>
        <v>1.6889725060931286E-2</v>
      </c>
      <c r="P114">
        <f t="shared" si="15"/>
        <v>1.6100790091821481E-2</v>
      </c>
      <c r="Q114">
        <f t="shared" si="15"/>
        <v>1.6025231215104633E-2</v>
      </c>
      <c r="R114">
        <f t="shared" si="15"/>
        <v>1.6851780926847949E-2</v>
      </c>
      <c r="S114">
        <f t="shared" si="15"/>
        <v>3.1483684568320867E-2</v>
      </c>
      <c r="T114">
        <f t="shared" si="15"/>
        <v>1.5388528551443469E-2</v>
      </c>
      <c r="U114">
        <f t="shared" si="15"/>
        <v>1.5204133491445029E-2</v>
      </c>
      <c r="V114">
        <f t="shared" si="15"/>
        <v>1.484708768664608E-2</v>
      </c>
      <c r="W114">
        <f t="shared" si="15"/>
        <v>1.5150875712175564E-2</v>
      </c>
      <c r="X114">
        <f t="shared" si="15"/>
        <v>1.5164279696714406E-2</v>
      </c>
      <c r="Y114">
        <f t="shared" si="15"/>
        <v>1.5110699553834497E-2</v>
      </c>
      <c r="Z114">
        <f t="shared" si="15"/>
        <v>1.501514131897712E-2</v>
      </c>
      <c r="AA114">
        <f t="shared" si="15"/>
        <v>1.5299260255548083E-2</v>
      </c>
      <c r="AB114">
        <f t="shared" si="15"/>
        <v>1.5678856662463221E-2</v>
      </c>
      <c r="AC114">
        <f t="shared" si="15"/>
        <v>1.5212001512795731E-2</v>
      </c>
      <c r="AD114">
        <f t="shared" si="15"/>
        <v>1.5658452625834349E-2</v>
      </c>
      <c r="AE114" s="2"/>
    </row>
    <row r="115" spans="3:31" x14ac:dyDescent="0.25">
      <c r="C115">
        <v>35</v>
      </c>
      <c r="F115">
        <f t="shared" ref="F115:AD115" si="16">F21/SUM(F$6:F$96)</f>
        <v>1.7312412342215987E-2</v>
      </c>
      <c r="G115">
        <f t="shared" si="16"/>
        <v>1.7691770050672725E-2</v>
      </c>
      <c r="H115">
        <f t="shared" si="16"/>
        <v>1.6977928692699491E-2</v>
      </c>
      <c r="I115">
        <f t="shared" si="16"/>
        <v>1.6891745190846325E-2</v>
      </c>
      <c r="J115">
        <f t="shared" si="16"/>
        <v>1.7145826117076549E-2</v>
      </c>
      <c r="K115">
        <f t="shared" si="16"/>
        <v>1.8703295753963112E-2</v>
      </c>
      <c r="L115">
        <f t="shared" si="16"/>
        <v>1.5926308539944905E-2</v>
      </c>
      <c r="M115">
        <f t="shared" si="16"/>
        <v>1.6437062787004849E-2</v>
      </c>
      <c r="N115">
        <f t="shared" si="16"/>
        <v>1.6030174446016031E-2</v>
      </c>
      <c r="O115">
        <f t="shared" si="16"/>
        <v>1.7231795441912175E-2</v>
      </c>
      <c r="P115">
        <f t="shared" si="16"/>
        <v>1.6655989750160152E-2</v>
      </c>
      <c r="Q115">
        <f t="shared" si="16"/>
        <v>1.5812129736180368E-2</v>
      </c>
      <c r="R115">
        <f t="shared" si="16"/>
        <v>1.5830460870675349E-2</v>
      </c>
      <c r="S115">
        <f t="shared" si="16"/>
        <v>1.6655336505778381E-2</v>
      </c>
      <c r="T115">
        <f t="shared" si="16"/>
        <v>3.0946627665437279E-2</v>
      </c>
      <c r="U115">
        <f t="shared" si="16"/>
        <v>1.5246484838217856E-2</v>
      </c>
      <c r="V115">
        <f t="shared" si="16"/>
        <v>1.497398587200203E-2</v>
      </c>
      <c r="W115">
        <f t="shared" si="16"/>
        <v>1.4686642751635367E-2</v>
      </c>
      <c r="X115">
        <f t="shared" si="16"/>
        <v>1.4869418702611626E-2</v>
      </c>
      <c r="Y115">
        <f t="shared" si="16"/>
        <v>1.4984426298509976E-2</v>
      </c>
      <c r="Z115">
        <f t="shared" si="16"/>
        <v>1.501514131897712E-2</v>
      </c>
      <c r="AA115">
        <f t="shared" si="16"/>
        <v>1.4920981842636179E-2</v>
      </c>
      <c r="AB115">
        <f t="shared" si="16"/>
        <v>1.5132408575031526E-2</v>
      </c>
      <c r="AC115">
        <f t="shared" si="16"/>
        <v>1.5338067823675253E-2</v>
      </c>
      <c r="AD115">
        <f t="shared" si="16"/>
        <v>1.5028756139540741E-2</v>
      </c>
    </row>
    <row r="116" spans="3:31" x14ac:dyDescent="0.25">
      <c r="C116">
        <v>36</v>
      </c>
      <c r="F116">
        <f t="shared" ref="F116:AD116" si="17">F22/SUM(F$6:F$96)</f>
        <v>1.8583450210378681E-2</v>
      </c>
      <c r="G116">
        <f t="shared" si="17"/>
        <v>1.7211252839419884E-2</v>
      </c>
      <c r="H116">
        <f t="shared" si="17"/>
        <v>1.7282660746158199E-2</v>
      </c>
      <c r="I116">
        <f t="shared" si="17"/>
        <v>1.6848321681358289E-2</v>
      </c>
      <c r="J116">
        <f t="shared" si="17"/>
        <v>1.6669553169379979E-2</v>
      </c>
      <c r="K116">
        <f t="shared" si="17"/>
        <v>1.6932313938922725E-2</v>
      </c>
      <c r="L116">
        <f t="shared" si="17"/>
        <v>1.8465909090909092E-2</v>
      </c>
      <c r="M116">
        <f t="shared" si="17"/>
        <v>1.5664563752628643E-2</v>
      </c>
      <c r="N116">
        <f t="shared" si="17"/>
        <v>1.6201620162016202E-2</v>
      </c>
      <c r="O116">
        <f t="shared" si="17"/>
        <v>1.5777996322743404E-2</v>
      </c>
      <c r="P116">
        <f t="shared" si="17"/>
        <v>1.6869528080290411E-2</v>
      </c>
      <c r="Q116">
        <f t="shared" si="17"/>
        <v>1.6536674764522866E-2</v>
      </c>
      <c r="R116">
        <f t="shared" si="17"/>
        <v>1.5617685858972722E-2</v>
      </c>
      <c r="S116">
        <f t="shared" si="17"/>
        <v>1.5550645819170632E-2</v>
      </c>
      <c r="T116">
        <f t="shared" si="17"/>
        <v>1.6490737208020689E-2</v>
      </c>
      <c r="U116">
        <f t="shared" si="17"/>
        <v>3.0450618329662883E-2</v>
      </c>
      <c r="V116">
        <f t="shared" si="17"/>
        <v>1.5058584662239329E-2</v>
      </c>
      <c r="W116">
        <f t="shared" si="17"/>
        <v>1.4897657733699093E-2</v>
      </c>
      <c r="X116">
        <f t="shared" si="17"/>
        <v>1.4616680707666386E-2</v>
      </c>
      <c r="Y116">
        <f t="shared" si="17"/>
        <v>1.4816061958077279E-2</v>
      </c>
      <c r="Z116">
        <f t="shared" si="17"/>
        <v>1.4846904441453567E-2</v>
      </c>
      <c r="AA116">
        <f t="shared" si="17"/>
        <v>1.4752858103564224E-2</v>
      </c>
      <c r="AB116">
        <f t="shared" si="17"/>
        <v>1.4754098360655738E-2</v>
      </c>
      <c r="AC116">
        <f t="shared" si="17"/>
        <v>1.4959868891036685E-2</v>
      </c>
      <c r="AD116">
        <f t="shared" si="17"/>
        <v>1.5070735905293649E-2</v>
      </c>
    </row>
    <row r="117" spans="3:31" x14ac:dyDescent="0.25">
      <c r="C117">
        <v>37</v>
      </c>
      <c r="F117">
        <f t="shared" ref="F117:AD117" si="18">F23/SUM(F$6:F$96)</f>
        <v>1.5603085553997195E-2</v>
      </c>
      <c r="G117">
        <f t="shared" si="18"/>
        <v>1.8390704176131398E-2</v>
      </c>
      <c r="H117">
        <f t="shared" si="18"/>
        <v>1.7064994993687695E-2</v>
      </c>
      <c r="I117">
        <f t="shared" si="18"/>
        <v>1.6891745190846325E-2</v>
      </c>
      <c r="J117">
        <f t="shared" si="18"/>
        <v>1.6712850710079667E-2</v>
      </c>
      <c r="K117">
        <f t="shared" si="18"/>
        <v>1.6500367154766531E-2</v>
      </c>
      <c r="L117">
        <f t="shared" si="18"/>
        <v>1.6658057851239669E-2</v>
      </c>
      <c r="M117">
        <f t="shared" si="18"/>
        <v>1.8282477146903568E-2</v>
      </c>
      <c r="N117">
        <f t="shared" si="18"/>
        <v>1.5515837298015516E-2</v>
      </c>
      <c r="O117">
        <f t="shared" si="18"/>
        <v>1.5906272715611236E-2</v>
      </c>
      <c r="P117">
        <f t="shared" si="18"/>
        <v>1.5502882767456759E-2</v>
      </c>
      <c r="Q117">
        <f t="shared" si="18"/>
        <v>1.6792396539231983E-2</v>
      </c>
      <c r="R117">
        <f t="shared" si="18"/>
        <v>1.6426230903442699E-2</v>
      </c>
      <c r="S117">
        <f t="shared" si="18"/>
        <v>1.5338205302515296E-2</v>
      </c>
      <c r="T117">
        <f t="shared" si="18"/>
        <v>1.5303743270168299E-2</v>
      </c>
      <c r="U117">
        <f t="shared" si="18"/>
        <v>1.6347619854311365E-2</v>
      </c>
      <c r="V117">
        <f t="shared" si="18"/>
        <v>3.0159468719597311E-2</v>
      </c>
      <c r="W117">
        <f t="shared" si="18"/>
        <v>1.4982063726524584E-2</v>
      </c>
      <c r="X117">
        <f t="shared" si="18"/>
        <v>1.4785172704296546E-2</v>
      </c>
      <c r="Y117">
        <f t="shared" si="18"/>
        <v>1.4521424362320061E-2</v>
      </c>
      <c r="Z117">
        <f t="shared" si="18"/>
        <v>1.4678667563930013E-2</v>
      </c>
      <c r="AA117">
        <f t="shared" si="18"/>
        <v>1.4752858103564224E-2</v>
      </c>
      <c r="AB117">
        <f t="shared" si="18"/>
        <v>1.4543926019335856E-2</v>
      </c>
      <c r="AC117">
        <f t="shared" si="18"/>
        <v>1.4707736269277641E-2</v>
      </c>
      <c r="AD117">
        <f t="shared" si="18"/>
        <v>1.4818857310776206E-2</v>
      </c>
    </row>
    <row r="118" spans="3:31" x14ac:dyDescent="0.25">
      <c r="C118">
        <v>38</v>
      </c>
      <c r="F118">
        <f t="shared" ref="F118:AD118" si="19">F24/SUM(F$6:F$96)</f>
        <v>1.5953716690042075E-2</v>
      </c>
      <c r="G118">
        <f t="shared" si="19"/>
        <v>1.5420234142932029E-2</v>
      </c>
      <c r="H118">
        <f t="shared" si="19"/>
        <v>1.8153323756040226E-2</v>
      </c>
      <c r="I118">
        <f t="shared" si="19"/>
        <v>1.6848321681358289E-2</v>
      </c>
      <c r="J118">
        <f t="shared" si="19"/>
        <v>1.6626255628680291E-2</v>
      </c>
      <c r="K118">
        <f t="shared" si="19"/>
        <v>1.6370783119519675E-2</v>
      </c>
      <c r="L118">
        <f t="shared" si="19"/>
        <v>1.6227617079889806E-2</v>
      </c>
      <c r="M118">
        <f t="shared" si="19"/>
        <v>1.6351229560963049E-2</v>
      </c>
      <c r="N118">
        <f t="shared" si="19"/>
        <v>1.8173245896018174E-2</v>
      </c>
      <c r="O118">
        <f t="shared" si="19"/>
        <v>1.5222131953649463E-2</v>
      </c>
      <c r="P118">
        <f t="shared" si="19"/>
        <v>1.5716421097587016E-2</v>
      </c>
      <c r="Q118">
        <f t="shared" si="19"/>
        <v>1.5385926778331841E-2</v>
      </c>
      <c r="R118">
        <f t="shared" si="19"/>
        <v>1.6596450912804799E-2</v>
      </c>
      <c r="S118">
        <f t="shared" si="19"/>
        <v>1.6145479265805573E-2</v>
      </c>
      <c r="T118">
        <f t="shared" si="19"/>
        <v>1.5134172707617957E-2</v>
      </c>
      <c r="U118">
        <f t="shared" si="19"/>
        <v>1.5034728104353719E-2</v>
      </c>
      <c r="V118">
        <f t="shared" si="19"/>
        <v>1.6073770145086926E-2</v>
      </c>
      <c r="W118">
        <f t="shared" si="19"/>
        <v>2.975311247098544E-2</v>
      </c>
      <c r="X118">
        <f t="shared" si="19"/>
        <v>1.4827295703454086E-2</v>
      </c>
      <c r="Y118">
        <f t="shared" si="19"/>
        <v>1.4563515447428234E-2</v>
      </c>
      <c r="Z118">
        <f t="shared" si="19"/>
        <v>1.4342193808882906E-2</v>
      </c>
      <c r="AA118">
        <f t="shared" si="19"/>
        <v>1.4542703429724278E-2</v>
      </c>
      <c r="AB118">
        <f t="shared" si="19"/>
        <v>1.4585960487599832E-2</v>
      </c>
      <c r="AC118">
        <f t="shared" si="19"/>
        <v>1.4329537336639072E-2</v>
      </c>
      <c r="AD118">
        <f t="shared" si="19"/>
        <v>1.4524998950505855E-2</v>
      </c>
    </row>
    <row r="119" spans="3:31" x14ac:dyDescent="0.25">
      <c r="C119">
        <v>39</v>
      </c>
      <c r="F119">
        <f t="shared" ref="F119:AD119" si="20">F25/SUM(F$6:F$96)</f>
        <v>1.9065568022440391E-2</v>
      </c>
      <c r="G119">
        <f t="shared" si="20"/>
        <v>1.5813384588502535E-2</v>
      </c>
      <c r="H119">
        <f t="shared" si="20"/>
        <v>1.5323668973923643E-2</v>
      </c>
      <c r="I119">
        <f t="shared" si="20"/>
        <v>1.8020756437535281E-2</v>
      </c>
      <c r="J119">
        <f t="shared" si="20"/>
        <v>1.6626255628680291E-2</v>
      </c>
      <c r="K119">
        <f t="shared" si="20"/>
        <v>1.6413977797935294E-2</v>
      </c>
      <c r="L119">
        <f t="shared" si="20"/>
        <v>1.6141528925619833E-2</v>
      </c>
      <c r="M119">
        <f t="shared" si="20"/>
        <v>1.5879146817733145E-2</v>
      </c>
      <c r="N119">
        <f t="shared" si="20"/>
        <v>1.6073035875016073E-2</v>
      </c>
      <c r="O119">
        <f t="shared" si="20"/>
        <v>1.7873177406251335E-2</v>
      </c>
      <c r="P119">
        <f t="shared" si="20"/>
        <v>1.4904975443092034E-2</v>
      </c>
      <c r="Q119">
        <f t="shared" si="20"/>
        <v>1.5513787665686399E-2</v>
      </c>
      <c r="R119">
        <f t="shared" si="20"/>
        <v>1.5319800842589047E-2</v>
      </c>
      <c r="S119">
        <f t="shared" si="20"/>
        <v>1.6357919782460911E-2</v>
      </c>
      <c r="T119">
        <f t="shared" si="20"/>
        <v>1.5982025520369664E-2</v>
      </c>
      <c r="U119">
        <f t="shared" si="20"/>
        <v>1.499237675758089E-2</v>
      </c>
      <c r="V119">
        <f t="shared" si="20"/>
        <v>1.4889387081764731E-2</v>
      </c>
      <c r="W119">
        <f t="shared" si="20"/>
        <v>1.5952732644017725E-2</v>
      </c>
      <c r="X119">
        <f t="shared" si="20"/>
        <v>2.9359730412805391E-2</v>
      </c>
      <c r="Y119">
        <f t="shared" si="20"/>
        <v>1.4647697617644583E-2</v>
      </c>
      <c r="Z119">
        <f t="shared" si="20"/>
        <v>1.4342193808882906E-2</v>
      </c>
      <c r="AA119">
        <f t="shared" si="20"/>
        <v>1.4122394082044385E-2</v>
      </c>
      <c r="AB119">
        <f t="shared" si="20"/>
        <v>1.4417822614543926E-2</v>
      </c>
      <c r="AC119">
        <f t="shared" si="20"/>
        <v>1.4161448922133042E-2</v>
      </c>
      <c r="AD119">
        <f t="shared" si="20"/>
        <v>1.4147181058729693E-2</v>
      </c>
    </row>
    <row r="120" spans="3:31" x14ac:dyDescent="0.25">
      <c r="C120">
        <v>40</v>
      </c>
      <c r="F120">
        <f t="shared" ref="F120:AD120" si="21">F26/SUM(F$6:F$96)</f>
        <v>1.5866058906030857E-2</v>
      </c>
      <c r="G120">
        <f t="shared" si="21"/>
        <v>1.8827538004543072E-2</v>
      </c>
      <c r="H120">
        <f t="shared" si="21"/>
        <v>1.5497801575900048E-2</v>
      </c>
      <c r="I120">
        <f t="shared" si="21"/>
        <v>1.5154804811324852E-2</v>
      </c>
      <c r="J120">
        <f t="shared" si="21"/>
        <v>1.7795289227571873E-2</v>
      </c>
      <c r="K120">
        <f t="shared" si="21"/>
        <v>1.6370783119519675E-2</v>
      </c>
      <c r="L120">
        <f t="shared" si="21"/>
        <v>1.6184573002754821E-2</v>
      </c>
      <c r="M120">
        <f t="shared" si="21"/>
        <v>1.5922063430754044E-2</v>
      </c>
      <c r="N120">
        <f t="shared" si="21"/>
        <v>1.5558698727015558E-2</v>
      </c>
      <c r="O120">
        <f t="shared" si="21"/>
        <v>1.5820755120366015E-2</v>
      </c>
      <c r="P120">
        <f t="shared" si="21"/>
        <v>1.7638266068759342E-2</v>
      </c>
      <c r="Q120">
        <f t="shared" si="21"/>
        <v>1.4746622341559051E-2</v>
      </c>
      <c r="R120">
        <f t="shared" si="21"/>
        <v>1.5234690837907997E-2</v>
      </c>
      <c r="S120">
        <f t="shared" si="21"/>
        <v>1.5125764785859959E-2</v>
      </c>
      <c r="T120">
        <f t="shared" si="21"/>
        <v>1.6236381364195175E-2</v>
      </c>
      <c r="U120">
        <f t="shared" si="21"/>
        <v>1.5712349652718956E-2</v>
      </c>
      <c r="V120">
        <f t="shared" si="21"/>
        <v>1.4720189501290131E-2</v>
      </c>
      <c r="W120">
        <f t="shared" si="21"/>
        <v>1.4771048744460856E-2</v>
      </c>
      <c r="X120">
        <f t="shared" si="21"/>
        <v>1.5627632687447345E-2</v>
      </c>
      <c r="Y120">
        <f t="shared" si="21"/>
        <v>2.89165754693156E-2</v>
      </c>
      <c r="Z120">
        <f t="shared" si="21"/>
        <v>1.4510430686406461E-2</v>
      </c>
      <c r="AA120">
        <f t="shared" si="21"/>
        <v>1.4248486886348352E-2</v>
      </c>
      <c r="AB120">
        <f t="shared" si="21"/>
        <v>1.3829340058848255E-2</v>
      </c>
      <c r="AC120">
        <f t="shared" si="21"/>
        <v>1.420347102575955E-2</v>
      </c>
      <c r="AD120">
        <f t="shared" si="21"/>
        <v>1.3937282229965157E-2</v>
      </c>
    </row>
    <row r="121" spans="3:31" x14ac:dyDescent="0.25">
      <c r="C121">
        <v>41</v>
      </c>
      <c r="F121">
        <f t="shared" ref="F121:AD121" si="22">F27/SUM(F$6:F$96)</f>
        <v>1.6874123422159888E-2</v>
      </c>
      <c r="G121">
        <f t="shared" si="22"/>
        <v>1.5682334439979032E-2</v>
      </c>
      <c r="H121">
        <f t="shared" si="22"/>
        <v>1.8501588959993036E-2</v>
      </c>
      <c r="I121">
        <f t="shared" si="22"/>
        <v>1.5371922358765035E-2</v>
      </c>
      <c r="J121">
        <f t="shared" si="22"/>
        <v>1.5024246622791825E-2</v>
      </c>
      <c r="K121">
        <f t="shared" si="22"/>
        <v>1.7493844758325775E-2</v>
      </c>
      <c r="L121">
        <f t="shared" si="22"/>
        <v>1.5883264462809916E-2</v>
      </c>
      <c r="M121">
        <f t="shared" si="22"/>
        <v>1.5922063430754044E-2</v>
      </c>
      <c r="N121">
        <f t="shared" si="22"/>
        <v>1.573014444301573E-2</v>
      </c>
      <c r="O121">
        <f t="shared" si="22"/>
        <v>1.5136614358404242E-2</v>
      </c>
      <c r="P121">
        <f t="shared" si="22"/>
        <v>1.5588298099508862E-2</v>
      </c>
      <c r="Q121">
        <f t="shared" si="22"/>
        <v>1.7303840088650217E-2</v>
      </c>
      <c r="R121">
        <f t="shared" si="22"/>
        <v>1.4511255798119068E-2</v>
      </c>
      <c r="S121">
        <f t="shared" si="22"/>
        <v>1.5083276682528892E-2</v>
      </c>
      <c r="T121">
        <f t="shared" si="22"/>
        <v>1.5006994785705201E-2</v>
      </c>
      <c r="U121">
        <f t="shared" si="22"/>
        <v>1.5966457733355921E-2</v>
      </c>
      <c r="V121">
        <f t="shared" si="22"/>
        <v>1.5481578613425829E-2</v>
      </c>
      <c r="W121">
        <f t="shared" si="22"/>
        <v>1.447562776957164E-2</v>
      </c>
      <c r="X121">
        <f t="shared" si="22"/>
        <v>1.4532434709351305E-2</v>
      </c>
      <c r="Y121">
        <f t="shared" si="22"/>
        <v>1.5531610404916239E-2</v>
      </c>
      <c r="Z121">
        <f t="shared" si="22"/>
        <v>2.8474091520861371E-2</v>
      </c>
      <c r="AA121">
        <f t="shared" si="22"/>
        <v>1.4416610625420309E-2</v>
      </c>
      <c r="AB121">
        <f t="shared" si="22"/>
        <v>1.3871374527112233E-2</v>
      </c>
      <c r="AC121">
        <f t="shared" si="22"/>
        <v>1.3741227885867966E-2</v>
      </c>
      <c r="AD121">
        <f t="shared" si="22"/>
        <v>1.4021241761470972E-2</v>
      </c>
    </row>
    <row r="122" spans="3:31" x14ac:dyDescent="0.25">
      <c r="C122">
        <v>42</v>
      </c>
      <c r="F122">
        <f t="shared" ref="F122:AD122" si="23">F28/SUM(F$6:F$96)</f>
        <v>1.7969845722300141E-2</v>
      </c>
      <c r="G122">
        <f t="shared" si="23"/>
        <v>1.6730735628167046E-2</v>
      </c>
      <c r="H122">
        <f t="shared" si="23"/>
        <v>1.5497801575900048E-2</v>
      </c>
      <c r="I122">
        <f t="shared" si="23"/>
        <v>1.8151026965999392E-2</v>
      </c>
      <c r="J122">
        <f t="shared" si="23"/>
        <v>1.5110841704191202E-2</v>
      </c>
      <c r="K122">
        <f t="shared" si="23"/>
        <v>1.4858969374973004E-2</v>
      </c>
      <c r="L122">
        <f t="shared" si="23"/>
        <v>1.7303719008264464E-2</v>
      </c>
      <c r="M122">
        <f t="shared" si="23"/>
        <v>1.5535813913565941E-2</v>
      </c>
      <c r="N122">
        <f t="shared" si="23"/>
        <v>1.5773005872015772E-2</v>
      </c>
      <c r="O122">
        <f t="shared" si="23"/>
        <v>1.556420233463035E-2</v>
      </c>
      <c r="P122">
        <f t="shared" si="23"/>
        <v>1.5075806107196242E-2</v>
      </c>
      <c r="Q122">
        <f t="shared" si="23"/>
        <v>1.5471167369901548E-2</v>
      </c>
      <c r="R122">
        <f t="shared" si="23"/>
        <v>1.7149665943231626E-2</v>
      </c>
      <c r="S122">
        <f t="shared" si="23"/>
        <v>1.431849082256968E-2</v>
      </c>
      <c r="T122">
        <f t="shared" si="23"/>
        <v>1.4752638941879689E-2</v>
      </c>
      <c r="U122">
        <f t="shared" si="23"/>
        <v>1.46959173301711E-2</v>
      </c>
      <c r="V122">
        <f t="shared" si="23"/>
        <v>1.5650776193900429E-2</v>
      </c>
      <c r="W122">
        <f t="shared" si="23"/>
        <v>1.5277484701413801E-2</v>
      </c>
      <c r="X122">
        <f t="shared" si="23"/>
        <v>1.4195450716090985E-2</v>
      </c>
      <c r="Y122">
        <f t="shared" si="23"/>
        <v>1.4437242192103713E-2</v>
      </c>
      <c r="Z122">
        <f t="shared" si="23"/>
        <v>1.5309555854643338E-2</v>
      </c>
      <c r="AA122">
        <f t="shared" si="23"/>
        <v>2.8160726294552792E-2</v>
      </c>
      <c r="AB122">
        <f t="shared" si="23"/>
        <v>1.4207650273224045E-2</v>
      </c>
      <c r="AC122">
        <f t="shared" si="23"/>
        <v>1.3741227885867966E-2</v>
      </c>
      <c r="AD122">
        <f t="shared" si="23"/>
        <v>1.3517484572436086E-2</v>
      </c>
    </row>
    <row r="123" spans="3:31" x14ac:dyDescent="0.25">
      <c r="C123">
        <v>43</v>
      </c>
      <c r="F123">
        <f t="shared" ref="F123:AD123" si="24">F29/SUM(F$6:F$96)</f>
        <v>1.82328190743338E-2</v>
      </c>
      <c r="G123">
        <f t="shared" si="24"/>
        <v>1.7822820199196225E-2</v>
      </c>
      <c r="H123">
        <f t="shared" si="24"/>
        <v>1.658613033825258E-2</v>
      </c>
      <c r="I123">
        <f t="shared" si="24"/>
        <v>1.5285075339788961E-2</v>
      </c>
      <c r="J123">
        <f t="shared" si="24"/>
        <v>1.7838586768271561E-2</v>
      </c>
      <c r="K123">
        <f t="shared" si="24"/>
        <v>1.4988553410219861E-2</v>
      </c>
      <c r="L123">
        <f t="shared" si="24"/>
        <v>1.4548898071625344E-2</v>
      </c>
      <c r="M123">
        <f t="shared" si="24"/>
        <v>1.7123728595339255E-2</v>
      </c>
      <c r="N123">
        <f t="shared" si="24"/>
        <v>1.5344391582015345E-2</v>
      </c>
      <c r="O123">
        <f t="shared" si="24"/>
        <v>1.552144353700774E-2</v>
      </c>
      <c r="P123">
        <f t="shared" si="24"/>
        <v>1.5374759769378604E-2</v>
      </c>
      <c r="Q123">
        <f t="shared" si="24"/>
        <v>1.4789242637343903E-2</v>
      </c>
      <c r="R123">
        <f t="shared" si="24"/>
        <v>1.5234690837907997E-2</v>
      </c>
      <c r="S123">
        <f t="shared" si="24"/>
        <v>1.6867777022433719E-2</v>
      </c>
      <c r="T123">
        <f t="shared" si="24"/>
        <v>1.4116749332315911E-2</v>
      </c>
      <c r="U123">
        <f t="shared" si="24"/>
        <v>1.452651194307979E-2</v>
      </c>
      <c r="V123">
        <f t="shared" si="24"/>
        <v>1.4254896154984984E-2</v>
      </c>
      <c r="W123">
        <f t="shared" si="24"/>
        <v>1.5446296687064782E-2</v>
      </c>
      <c r="X123">
        <f t="shared" si="24"/>
        <v>1.5080033698399326E-2</v>
      </c>
      <c r="Y123">
        <f t="shared" si="24"/>
        <v>1.3974240255913798E-2</v>
      </c>
      <c r="Z123">
        <f t="shared" si="24"/>
        <v>1.4342193808882906E-2</v>
      </c>
      <c r="AA123">
        <f t="shared" si="24"/>
        <v>1.5257229320780094E-2</v>
      </c>
      <c r="AB123">
        <f t="shared" si="24"/>
        <v>2.7952921395544346E-2</v>
      </c>
      <c r="AC123">
        <f t="shared" si="24"/>
        <v>1.4077404714880027E-2</v>
      </c>
      <c r="AD123">
        <f t="shared" si="24"/>
        <v>1.3559464338188993E-2</v>
      </c>
    </row>
    <row r="124" spans="3:31" x14ac:dyDescent="0.25">
      <c r="C124">
        <v>44</v>
      </c>
      <c r="F124">
        <f t="shared" ref="F124:AD124" si="25">F30/SUM(F$6:F$96)</f>
        <v>1.9153225806451613E-2</v>
      </c>
      <c r="G124">
        <f t="shared" si="25"/>
        <v>1.8084920496243228E-2</v>
      </c>
      <c r="H124">
        <f t="shared" si="25"/>
        <v>1.7369727047146403E-2</v>
      </c>
      <c r="I124">
        <f t="shared" si="25"/>
        <v>1.641408658647792E-2</v>
      </c>
      <c r="J124">
        <f t="shared" si="25"/>
        <v>1.5024246622791825E-2</v>
      </c>
      <c r="K124">
        <f t="shared" si="25"/>
        <v>1.7623428793572631E-2</v>
      </c>
      <c r="L124">
        <f t="shared" si="25"/>
        <v>1.4850206611570249E-2</v>
      </c>
      <c r="M124">
        <f t="shared" si="25"/>
        <v>1.4291232135959829E-2</v>
      </c>
      <c r="N124">
        <f t="shared" si="25"/>
        <v>1.6887403026016889E-2</v>
      </c>
      <c r="O124">
        <f t="shared" si="25"/>
        <v>1.505109676315902E-2</v>
      </c>
      <c r="P124">
        <f t="shared" si="25"/>
        <v>1.5332052103352551E-2</v>
      </c>
      <c r="Q124">
        <f t="shared" si="25"/>
        <v>1.5002344116268168E-2</v>
      </c>
      <c r="R124">
        <f t="shared" si="25"/>
        <v>1.4638920805140645E-2</v>
      </c>
      <c r="S124">
        <f t="shared" si="25"/>
        <v>1.5083276682528892E-2</v>
      </c>
      <c r="T124">
        <f t="shared" si="25"/>
        <v>1.6702700411208613E-2</v>
      </c>
      <c r="U124">
        <f t="shared" si="25"/>
        <v>1.3975944435033034E-2</v>
      </c>
      <c r="V124">
        <f t="shared" si="25"/>
        <v>1.4254896154984984E-2</v>
      </c>
      <c r="W124">
        <f t="shared" si="25"/>
        <v>1.3969191812618695E-2</v>
      </c>
      <c r="X124">
        <f t="shared" si="25"/>
        <v>1.5248525695029486E-2</v>
      </c>
      <c r="Y124">
        <f t="shared" si="25"/>
        <v>1.4773970872969106E-2</v>
      </c>
      <c r="Z124">
        <f t="shared" si="25"/>
        <v>1.3585127860026918E-2</v>
      </c>
      <c r="AA124">
        <f t="shared" si="25"/>
        <v>1.4122394082044385E-2</v>
      </c>
      <c r="AB124">
        <f t="shared" si="25"/>
        <v>1.4922236233711644E-2</v>
      </c>
      <c r="AC124">
        <f t="shared" si="25"/>
        <v>2.7608522082615456E-2</v>
      </c>
      <c r="AD124">
        <f t="shared" si="25"/>
        <v>1.389530246421225E-2</v>
      </c>
    </row>
    <row r="125" spans="3:31" x14ac:dyDescent="0.25">
      <c r="C125">
        <v>45</v>
      </c>
      <c r="F125">
        <f t="shared" ref="F125:AD125" si="26">F31/SUM(F$6:F$96)</f>
        <v>1.7926016830294531E-2</v>
      </c>
      <c r="G125">
        <f t="shared" si="26"/>
        <v>1.9002271535907739E-2</v>
      </c>
      <c r="H125">
        <f t="shared" si="26"/>
        <v>1.7805058552087416E-2</v>
      </c>
      <c r="I125">
        <f t="shared" si="26"/>
        <v>1.7152286247774547E-2</v>
      </c>
      <c r="J125">
        <f t="shared" si="26"/>
        <v>1.6193280221683409E-2</v>
      </c>
      <c r="K125">
        <f t="shared" si="26"/>
        <v>1.4815774696557385E-2</v>
      </c>
      <c r="L125">
        <f t="shared" si="26"/>
        <v>1.7346763085399449E-2</v>
      </c>
      <c r="M125">
        <f t="shared" si="26"/>
        <v>1.4591648427106132E-2</v>
      </c>
      <c r="N125">
        <f t="shared" si="26"/>
        <v>1.4058548712014059E-2</v>
      </c>
      <c r="O125">
        <f t="shared" si="26"/>
        <v>1.6718689870440843E-2</v>
      </c>
      <c r="P125">
        <f t="shared" si="26"/>
        <v>1.4862267777065983E-2</v>
      </c>
      <c r="Q125">
        <f t="shared" si="26"/>
        <v>1.5172825299407578E-2</v>
      </c>
      <c r="R125">
        <f t="shared" si="26"/>
        <v>1.4638920805140645E-2</v>
      </c>
      <c r="S125">
        <f t="shared" si="26"/>
        <v>1.4445955132562882E-2</v>
      </c>
      <c r="T125">
        <f t="shared" si="26"/>
        <v>1.4667853660604519E-2</v>
      </c>
      <c r="U125">
        <f t="shared" si="26"/>
        <v>1.6644079281721159E-2</v>
      </c>
      <c r="V125">
        <f t="shared" si="26"/>
        <v>1.3705004018442535E-2</v>
      </c>
      <c r="W125">
        <f t="shared" si="26"/>
        <v>1.4095800801856932E-2</v>
      </c>
      <c r="X125">
        <f t="shared" si="26"/>
        <v>1.3858466722830665E-2</v>
      </c>
      <c r="Y125">
        <f t="shared" si="26"/>
        <v>1.5152790638942672E-2</v>
      </c>
      <c r="Z125">
        <f t="shared" si="26"/>
        <v>1.4594549125168237E-2</v>
      </c>
      <c r="AA125">
        <f t="shared" si="26"/>
        <v>1.3407868190988567E-2</v>
      </c>
      <c r="AB125">
        <f t="shared" si="26"/>
        <v>1.3703236654056327E-2</v>
      </c>
      <c r="AC125">
        <f t="shared" si="26"/>
        <v>1.4707736269277641E-2</v>
      </c>
      <c r="AD125">
        <f t="shared" si="26"/>
        <v>2.7118928676377985E-2</v>
      </c>
    </row>
    <row r="126" spans="3:31" x14ac:dyDescent="0.25">
      <c r="C126">
        <v>46</v>
      </c>
      <c r="F126">
        <f t="shared" ref="F126:AD126" si="27">F32/SUM(F$6:F$96)</f>
        <v>1.8977910238429173E-2</v>
      </c>
      <c r="G126">
        <f t="shared" si="27"/>
        <v>1.7648086667831558E-2</v>
      </c>
      <c r="H126">
        <f t="shared" si="27"/>
        <v>1.8719254712463541E-2</v>
      </c>
      <c r="I126">
        <f t="shared" si="27"/>
        <v>1.7543097833166876E-2</v>
      </c>
      <c r="J126">
        <f t="shared" si="27"/>
        <v>1.688604087287842E-2</v>
      </c>
      <c r="K126">
        <f t="shared" si="27"/>
        <v>1.5982031013779104E-2</v>
      </c>
      <c r="L126">
        <f t="shared" si="27"/>
        <v>1.4634986225895317E-2</v>
      </c>
      <c r="M126">
        <f t="shared" si="27"/>
        <v>1.7123728595339255E-2</v>
      </c>
      <c r="N126">
        <f t="shared" si="27"/>
        <v>1.4401440144014401E-2</v>
      </c>
      <c r="O126">
        <f t="shared" si="27"/>
        <v>1.3768332834480694E-2</v>
      </c>
      <c r="P126">
        <f t="shared" si="27"/>
        <v>1.6228913089899637E-2</v>
      </c>
      <c r="Q126">
        <f t="shared" si="27"/>
        <v>1.4746622341559051E-2</v>
      </c>
      <c r="R126">
        <f t="shared" si="27"/>
        <v>1.5064470828545895E-2</v>
      </c>
      <c r="S126">
        <f t="shared" si="27"/>
        <v>1.448844323589395E-2</v>
      </c>
      <c r="T126">
        <f t="shared" si="27"/>
        <v>1.4243927254228666E-2</v>
      </c>
      <c r="U126">
        <f t="shared" si="27"/>
        <v>1.4484160596306963E-2</v>
      </c>
      <c r="V126">
        <f t="shared" si="27"/>
        <v>1.6539063491392073E-2</v>
      </c>
      <c r="W126">
        <f t="shared" si="27"/>
        <v>1.3462755855665752E-2</v>
      </c>
      <c r="X126">
        <f t="shared" si="27"/>
        <v>1.3900589721988205E-2</v>
      </c>
      <c r="Y126">
        <f t="shared" si="27"/>
        <v>1.3595420489940231E-2</v>
      </c>
      <c r="Z126">
        <f t="shared" si="27"/>
        <v>1.5099259757738896E-2</v>
      </c>
      <c r="AA126">
        <f t="shared" si="27"/>
        <v>1.4332548755884331E-2</v>
      </c>
      <c r="AB126">
        <f t="shared" si="27"/>
        <v>1.319882303488861E-2</v>
      </c>
      <c r="AC126">
        <f t="shared" si="27"/>
        <v>1.3531117367735429E-2</v>
      </c>
      <c r="AD126">
        <f t="shared" si="27"/>
        <v>1.4483019184752949E-2</v>
      </c>
    </row>
    <row r="127" spans="3:31" x14ac:dyDescent="0.25">
      <c r="C127">
        <v>47</v>
      </c>
      <c r="F127">
        <f t="shared" ref="F127:AD127" si="28">F33/SUM(F$6:F$96)</f>
        <v>1.8627279102384292E-2</v>
      </c>
      <c r="G127">
        <f t="shared" si="28"/>
        <v>1.8696487856019569E-2</v>
      </c>
      <c r="H127">
        <f t="shared" si="28"/>
        <v>1.7543859649122806E-2</v>
      </c>
      <c r="I127">
        <f t="shared" si="28"/>
        <v>1.8628685570367797E-2</v>
      </c>
      <c r="J127">
        <f t="shared" si="28"/>
        <v>1.7319016279875303E-2</v>
      </c>
      <c r="K127">
        <f t="shared" si="28"/>
        <v>1.667314586842901E-2</v>
      </c>
      <c r="L127">
        <f t="shared" si="28"/>
        <v>1.5668044077134985E-2</v>
      </c>
      <c r="M127">
        <f t="shared" si="28"/>
        <v>1.4462898588043432E-2</v>
      </c>
      <c r="N127">
        <f t="shared" si="28"/>
        <v>1.6973125884016973E-2</v>
      </c>
      <c r="O127">
        <f t="shared" si="28"/>
        <v>1.4195920810706803E-2</v>
      </c>
      <c r="P127">
        <f t="shared" si="28"/>
        <v>1.3623745462310485E-2</v>
      </c>
      <c r="Q127">
        <f t="shared" si="28"/>
        <v>1.5982610919319781E-2</v>
      </c>
      <c r="R127">
        <f t="shared" si="28"/>
        <v>1.4553810800459595E-2</v>
      </c>
      <c r="S127">
        <f t="shared" si="28"/>
        <v>1.4913324269204623E-2</v>
      </c>
      <c r="T127">
        <f t="shared" si="28"/>
        <v>1.4159141972953496E-2</v>
      </c>
      <c r="U127">
        <f t="shared" si="28"/>
        <v>1.4018295781805861E-2</v>
      </c>
      <c r="V127">
        <f t="shared" si="28"/>
        <v>1.4212596759866334E-2</v>
      </c>
      <c r="W127">
        <f t="shared" si="28"/>
        <v>1.6374762608145178E-2</v>
      </c>
      <c r="X127">
        <f t="shared" si="28"/>
        <v>1.3352990732940185E-2</v>
      </c>
      <c r="Y127">
        <f t="shared" si="28"/>
        <v>1.3805875915481101E-2</v>
      </c>
      <c r="Z127">
        <f t="shared" si="28"/>
        <v>1.3458950201884253E-2</v>
      </c>
      <c r="AA127">
        <f t="shared" si="28"/>
        <v>1.4836919973100202E-2</v>
      </c>
      <c r="AB127">
        <f t="shared" si="28"/>
        <v>1.4081546868432115E-2</v>
      </c>
      <c r="AC127">
        <f t="shared" si="28"/>
        <v>1.3026852124217338E-2</v>
      </c>
      <c r="AD127">
        <f t="shared" si="28"/>
        <v>1.330758574367155E-2</v>
      </c>
    </row>
    <row r="128" spans="3:31" x14ac:dyDescent="0.25">
      <c r="C128">
        <v>48</v>
      </c>
      <c r="F128">
        <f t="shared" ref="F128:AD128" si="29">F34/SUM(F$6:F$96)</f>
        <v>1.9284712482468443E-2</v>
      </c>
      <c r="G128">
        <f t="shared" si="29"/>
        <v>1.8478070941813734E-2</v>
      </c>
      <c r="H128">
        <f t="shared" si="29"/>
        <v>1.8414522659004832E-2</v>
      </c>
      <c r="I128">
        <f t="shared" si="29"/>
        <v>1.7282556776238654E-2</v>
      </c>
      <c r="J128">
        <f t="shared" si="29"/>
        <v>1.8271562175268444E-2</v>
      </c>
      <c r="K128">
        <f t="shared" si="29"/>
        <v>1.6932313938922725E-2</v>
      </c>
      <c r="L128">
        <f t="shared" si="29"/>
        <v>1.6485881542699723E-2</v>
      </c>
      <c r="M128">
        <f t="shared" si="29"/>
        <v>1.544998068752414E-2</v>
      </c>
      <c r="N128">
        <f t="shared" si="29"/>
        <v>1.4272855857014273E-2</v>
      </c>
      <c r="O128">
        <f t="shared" si="29"/>
        <v>1.6804207465686064E-2</v>
      </c>
      <c r="P128">
        <f t="shared" si="29"/>
        <v>1.3965406790518898E-2</v>
      </c>
      <c r="Q128">
        <f t="shared" si="29"/>
        <v>1.3553254059583174E-2</v>
      </c>
      <c r="R128">
        <f t="shared" si="29"/>
        <v>1.5873015873015872E-2</v>
      </c>
      <c r="S128">
        <f t="shared" si="29"/>
        <v>1.4233514615907546E-2</v>
      </c>
      <c r="T128">
        <f t="shared" si="29"/>
        <v>1.4625461019966934E-2</v>
      </c>
      <c r="U128">
        <f t="shared" si="29"/>
        <v>1.3975944435033034E-2</v>
      </c>
      <c r="V128">
        <f t="shared" si="29"/>
        <v>1.3874201598917136E-2</v>
      </c>
      <c r="W128">
        <f t="shared" si="29"/>
        <v>1.4138003798269677E-2</v>
      </c>
      <c r="X128">
        <f t="shared" si="29"/>
        <v>1.6006739679865205E-2</v>
      </c>
      <c r="Y128">
        <f t="shared" si="29"/>
        <v>1.3258691809074838E-2</v>
      </c>
      <c r="Z128">
        <f t="shared" si="29"/>
        <v>1.3669246298788695E-2</v>
      </c>
      <c r="AA128">
        <f t="shared" si="29"/>
        <v>1.32817753866846E-2</v>
      </c>
      <c r="AB128">
        <f t="shared" si="29"/>
        <v>1.4670029424127784E-2</v>
      </c>
      <c r="AC128">
        <f t="shared" si="29"/>
        <v>1.3867294196747489E-2</v>
      </c>
      <c r="AD128">
        <f t="shared" si="29"/>
        <v>1.2971747617648294E-2</v>
      </c>
    </row>
    <row r="129" spans="3:30" x14ac:dyDescent="0.25">
      <c r="C129">
        <v>49</v>
      </c>
      <c r="F129">
        <f t="shared" ref="F129:AD129" si="30">F35/SUM(F$6:F$96)</f>
        <v>1.9898316970546986E-2</v>
      </c>
      <c r="G129">
        <f t="shared" si="30"/>
        <v>1.9002271535907739E-2</v>
      </c>
      <c r="H129">
        <f t="shared" si="30"/>
        <v>1.8240390057028426E-2</v>
      </c>
      <c r="I129">
        <f t="shared" si="30"/>
        <v>1.8020756437535281E-2</v>
      </c>
      <c r="J129">
        <f t="shared" si="30"/>
        <v>1.7145826117076549E-2</v>
      </c>
      <c r="K129">
        <f t="shared" si="30"/>
        <v>1.8055375577728825E-2</v>
      </c>
      <c r="L129">
        <f t="shared" si="30"/>
        <v>1.6701101928374654E-2</v>
      </c>
      <c r="M129">
        <f t="shared" si="30"/>
        <v>1.6394146173983951E-2</v>
      </c>
      <c r="N129">
        <f t="shared" si="30"/>
        <v>1.5215807295015215E-2</v>
      </c>
      <c r="O129">
        <f t="shared" si="30"/>
        <v>1.4067644417838971E-2</v>
      </c>
      <c r="P129">
        <f t="shared" si="30"/>
        <v>1.6527866752082E-2</v>
      </c>
      <c r="Q129">
        <f t="shared" si="30"/>
        <v>1.3723735242722584E-2</v>
      </c>
      <c r="R129">
        <f t="shared" si="30"/>
        <v>1.3319715732584366E-2</v>
      </c>
      <c r="S129">
        <f t="shared" si="30"/>
        <v>1.55931339225017E-2</v>
      </c>
      <c r="T129">
        <f t="shared" si="30"/>
        <v>1.4201534613591081E-2</v>
      </c>
      <c r="U129">
        <f t="shared" si="30"/>
        <v>1.4484160596306963E-2</v>
      </c>
      <c r="V129">
        <f t="shared" si="30"/>
        <v>1.3916500994035786E-2</v>
      </c>
      <c r="W129">
        <f t="shared" si="30"/>
        <v>1.3715973834142223E-2</v>
      </c>
      <c r="X129">
        <f t="shared" si="30"/>
        <v>1.4026958719460825E-2</v>
      </c>
      <c r="Y129">
        <f t="shared" si="30"/>
        <v>1.5573701490024412E-2</v>
      </c>
      <c r="Z129">
        <f t="shared" si="30"/>
        <v>1.2954239569313594E-2</v>
      </c>
      <c r="AA129">
        <f t="shared" si="30"/>
        <v>1.3533960995292535E-2</v>
      </c>
      <c r="AB129">
        <f t="shared" si="30"/>
        <v>1.307271963009668E-2</v>
      </c>
      <c r="AC129">
        <f t="shared" si="30"/>
        <v>1.437155944026558E-2</v>
      </c>
      <c r="AD129">
        <f t="shared" si="30"/>
        <v>1.3643423869694807E-2</v>
      </c>
    </row>
    <row r="130" spans="3:30" x14ac:dyDescent="0.25">
      <c r="C130">
        <v>50</v>
      </c>
      <c r="F130">
        <f t="shared" ref="F130:AD130" si="31">F36/SUM(F$6:F$96)</f>
        <v>1.9503856942496494E-2</v>
      </c>
      <c r="G130">
        <f t="shared" si="31"/>
        <v>1.9395421981478245E-2</v>
      </c>
      <c r="H130">
        <f t="shared" si="31"/>
        <v>1.8762787862957642E-2</v>
      </c>
      <c r="I130">
        <f t="shared" si="31"/>
        <v>1.8020756437535281E-2</v>
      </c>
      <c r="J130">
        <f t="shared" si="31"/>
        <v>1.7578801524073432E-2</v>
      </c>
      <c r="K130">
        <f t="shared" si="31"/>
        <v>1.6975508617338344E-2</v>
      </c>
      <c r="L130">
        <f t="shared" si="31"/>
        <v>1.7777203856749312E-2</v>
      </c>
      <c r="M130">
        <f t="shared" si="31"/>
        <v>1.6522896013046649E-2</v>
      </c>
      <c r="N130">
        <f t="shared" si="31"/>
        <v>1.6244481591016244E-2</v>
      </c>
      <c r="O130">
        <f t="shared" si="31"/>
        <v>1.4965579167913799E-2</v>
      </c>
      <c r="P130">
        <f t="shared" si="31"/>
        <v>1.3837283792440744E-2</v>
      </c>
      <c r="Q130">
        <f t="shared" si="31"/>
        <v>1.6195712398244043E-2</v>
      </c>
      <c r="R130">
        <f t="shared" si="31"/>
        <v>1.3575045746627516E-2</v>
      </c>
      <c r="S130">
        <f t="shared" si="31"/>
        <v>1.3128823929299796E-2</v>
      </c>
      <c r="T130">
        <f t="shared" si="31"/>
        <v>1.5346135910805884E-2</v>
      </c>
      <c r="U130">
        <f t="shared" si="31"/>
        <v>1.4060647128578688E-2</v>
      </c>
      <c r="V130">
        <f t="shared" si="31"/>
        <v>1.4254896154984984E-2</v>
      </c>
      <c r="W130">
        <f t="shared" si="31"/>
        <v>1.3758176830554969E-2</v>
      </c>
      <c r="X130">
        <f t="shared" si="31"/>
        <v>1.3563605728727885E-2</v>
      </c>
      <c r="Y130">
        <f t="shared" si="31"/>
        <v>1.3721693745264753E-2</v>
      </c>
      <c r="Z130">
        <f t="shared" si="31"/>
        <v>1.5309555854643338E-2</v>
      </c>
      <c r="AA130">
        <f t="shared" si="31"/>
        <v>1.2525218560860793E-2</v>
      </c>
      <c r="AB130">
        <f t="shared" si="31"/>
        <v>1.3240857503152586E-2</v>
      </c>
      <c r="AC130">
        <f t="shared" si="31"/>
        <v>1.2774719502458292E-2</v>
      </c>
      <c r="AD130">
        <f t="shared" si="31"/>
        <v>1.4273120355988414E-2</v>
      </c>
    </row>
    <row r="131" spans="3:30" x14ac:dyDescent="0.25">
      <c r="C131">
        <v>51</v>
      </c>
      <c r="F131">
        <f t="shared" ref="F131:AD131" si="32">F37/SUM(F$6:F$96)</f>
        <v>1.8627279102384292E-2</v>
      </c>
      <c r="G131">
        <f t="shared" si="32"/>
        <v>1.9133321684431243E-2</v>
      </c>
      <c r="H131">
        <f t="shared" si="32"/>
        <v>1.9241652518392757E-2</v>
      </c>
      <c r="I131">
        <f t="shared" si="32"/>
        <v>1.8368144513439575E-2</v>
      </c>
      <c r="J131">
        <f t="shared" si="32"/>
        <v>1.7751991686872186E-2</v>
      </c>
      <c r="K131">
        <f t="shared" si="32"/>
        <v>1.7407455401494534E-2</v>
      </c>
      <c r="L131">
        <f t="shared" si="32"/>
        <v>1.6787190082644628E-2</v>
      </c>
      <c r="M131">
        <f t="shared" si="32"/>
        <v>1.7681644564610962E-2</v>
      </c>
      <c r="N131">
        <f t="shared" si="32"/>
        <v>1.6287343020016287E-2</v>
      </c>
      <c r="O131">
        <f t="shared" si="32"/>
        <v>1.6077307906101679E-2</v>
      </c>
      <c r="P131">
        <f t="shared" si="32"/>
        <v>1.4904975443092034E-2</v>
      </c>
      <c r="Q131">
        <f t="shared" si="32"/>
        <v>1.3595874355368026E-2</v>
      </c>
      <c r="R131">
        <f t="shared" si="32"/>
        <v>1.5702795863653772E-2</v>
      </c>
      <c r="S131">
        <f t="shared" si="32"/>
        <v>1.3468728755948334E-2</v>
      </c>
      <c r="T131">
        <f t="shared" si="32"/>
        <v>1.2887362753825935E-2</v>
      </c>
      <c r="U131">
        <f t="shared" si="32"/>
        <v>1.5246484838217856E-2</v>
      </c>
      <c r="V131">
        <f t="shared" si="32"/>
        <v>1.3916500994035786E-2</v>
      </c>
      <c r="W131">
        <f t="shared" si="32"/>
        <v>1.4011394809031441E-2</v>
      </c>
      <c r="X131">
        <f t="shared" si="32"/>
        <v>1.3689974726200505E-2</v>
      </c>
      <c r="Y131">
        <f t="shared" si="32"/>
        <v>1.338496506439936E-2</v>
      </c>
      <c r="Z131">
        <f t="shared" si="32"/>
        <v>1.3458950201884253E-2</v>
      </c>
      <c r="AA131">
        <f t="shared" si="32"/>
        <v>1.5089105581708137E-2</v>
      </c>
      <c r="AB131">
        <f t="shared" si="32"/>
        <v>1.2316099201345103E-2</v>
      </c>
      <c r="AC131">
        <f t="shared" si="32"/>
        <v>1.3110896331470353E-2</v>
      </c>
      <c r="AD131">
        <f t="shared" si="32"/>
        <v>1.2551949960119222E-2</v>
      </c>
    </row>
    <row r="132" spans="3:30" x14ac:dyDescent="0.25">
      <c r="C132">
        <v>52</v>
      </c>
      <c r="F132">
        <f t="shared" ref="F132:AD132" si="33">F38/SUM(F$6:F$96)</f>
        <v>2.0906381486676017E-2</v>
      </c>
      <c r="G132">
        <f t="shared" si="33"/>
        <v>1.8390704176131398E-2</v>
      </c>
      <c r="H132">
        <f t="shared" si="33"/>
        <v>1.8675721561969439E-2</v>
      </c>
      <c r="I132">
        <f t="shared" si="33"/>
        <v>1.8976073646272091E-2</v>
      </c>
      <c r="J132">
        <f t="shared" si="33"/>
        <v>1.8011776931070315E-2</v>
      </c>
      <c r="K132">
        <f t="shared" si="33"/>
        <v>1.7450650079910156E-2</v>
      </c>
      <c r="L132">
        <f t="shared" si="33"/>
        <v>1.7131542699724518E-2</v>
      </c>
      <c r="M132">
        <f t="shared" si="33"/>
        <v>1.6479979400025751E-2</v>
      </c>
      <c r="N132">
        <f t="shared" si="33"/>
        <v>1.7316017316017316E-2</v>
      </c>
      <c r="O132">
        <f t="shared" si="33"/>
        <v>1.6120066703724293E-2</v>
      </c>
      <c r="P132">
        <f t="shared" si="33"/>
        <v>1.5844544095665172E-2</v>
      </c>
      <c r="Q132">
        <f t="shared" si="33"/>
        <v>1.4831862933128756E-2</v>
      </c>
      <c r="R132">
        <f t="shared" si="33"/>
        <v>1.3404825737265416E-2</v>
      </c>
      <c r="S132">
        <f t="shared" si="33"/>
        <v>1.5550645819170632E-2</v>
      </c>
      <c r="T132">
        <f t="shared" si="33"/>
        <v>1.3353681800839375E-2</v>
      </c>
      <c r="U132">
        <f t="shared" si="33"/>
        <v>1.2705404031848213E-2</v>
      </c>
      <c r="V132">
        <f t="shared" si="33"/>
        <v>1.514318345247663E-2</v>
      </c>
      <c r="W132">
        <f t="shared" si="33"/>
        <v>1.3715973834142223E-2</v>
      </c>
      <c r="X132">
        <f t="shared" si="33"/>
        <v>1.3900589721988205E-2</v>
      </c>
      <c r="Y132">
        <f t="shared" si="33"/>
        <v>1.3427056149507535E-2</v>
      </c>
      <c r="Z132">
        <f t="shared" si="33"/>
        <v>1.3206594885598923E-2</v>
      </c>
      <c r="AA132">
        <f t="shared" si="33"/>
        <v>1.32817753866846E-2</v>
      </c>
      <c r="AB132">
        <f t="shared" si="33"/>
        <v>1.4880201765447668E-2</v>
      </c>
      <c r="AC132">
        <f t="shared" si="33"/>
        <v>1.2060343740807665E-2</v>
      </c>
      <c r="AD132">
        <f t="shared" si="33"/>
        <v>1.2845808320389573E-2</v>
      </c>
    </row>
    <row r="133" spans="3:30" x14ac:dyDescent="0.25">
      <c r="C133">
        <v>53</v>
      </c>
      <c r="F133">
        <f t="shared" ref="F133:AD133" si="34">F39/SUM(F$6:F$96)</f>
        <v>2.0205119214586256E-2</v>
      </c>
      <c r="G133">
        <f t="shared" si="34"/>
        <v>2.0531189935348592E-2</v>
      </c>
      <c r="H133">
        <f t="shared" si="34"/>
        <v>1.8109790605546124E-2</v>
      </c>
      <c r="I133">
        <f t="shared" si="34"/>
        <v>1.8324721003951539E-2</v>
      </c>
      <c r="J133">
        <f t="shared" si="34"/>
        <v>1.8747835122965014E-2</v>
      </c>
      <c r="K133">
        <f t="shared" si="34"/>
        <v>1.7839402185650728E-2</v>
      </c>
      <c r="L133">
        <f t="shared" si="34"/>
        <v>1.7217630853994491E-2</v>
      </c>
      <c r="M133">
        <f t="shared" si="34"/>
        <v>1.6866228917213854E-2</v>
      </c>
      <c r="N133">
        <f t="shared" si="34"/>
        <v>1.6287343020016287E-2</v>
      </c>
      <c r="O133">
        <f t="shared" si="34"/>
        <v>1.7146277846666953E-2</v>
      </c>
      <c r="P133">
        <f t="shared" si="34"/>
        <v>1.5972667093743328E-2</v>
      </c>
      <c r="Q133">
        <f t="shared" si="34"/>
        <v>1.5641648553040958E-2</v>
      </c>
      <c r="R133">
        <f t="shared" si="34"/>
        <v>1.476658581216222E-2</v>
      </c>
      <c r="S133">
        <f t="shared" si="34"/>
        <v>1.321380013596193E-2</v>
      </c>
      <c r="T133">
        <f t="shared" si="34"/>
        <v>1.5430921192081054E-2</v>
      </c>
      <c r="U133">
        <f t="shared" si="34"/>
        <v>1.3128917499576486E-2</v>
      </c>
      <c r="V133">
        <f t="shared" si="34"/>
        <v>1.2478321560001691E-2</v>
      </c>
      <c r="W133">
        <f t="shared" si="34"/>
        <v>1.4982063726524584E-2</v>
      </c>
      <c r="X133">
        <f t="shared" si="34"/>
        <v>1.3647851727042965E-2</v>
      </c>
      <c r="Y133">
        <f t="shared" si="34"/>
        <v>1.3595420489940231E-2</v>
      </c>
      <c r="Z133">
        <f t="shared" si="34"/>
        <v>1.3374831763122477E-2</v>
      </c>
      <c r="AA133">
        <f t="shared" si="34"/>
        <v>1.3155682582380632E-2</v>
      </c>
      <c r="AB133">
        <f t="shared" si="34"/>
        <v>1.3030685161832704E-2</v>
      </c>
      <c r="AC133">
        <f t="shared" si="34"/>
        <v>1.4707736269277641E-2</v>
      </c>
      <c r="AD133">
        <f t="shared" si="34"/>
        <v>1.1964233239578523E-2</v>
      </c>
    </row>
    <row r="134" spans="3:30" x14ac:dyDescent="0.25">
      <c r="C134">
        <v>54</v>
      </c>
      <c r="F134">
        <f t="shared" ref="F134:AD134" si="35">F40/SUM(F$6:F$96)</f>
        <v>1.9766830294530153E-2</v>
      </c>
      <c r="G134">
        <f t="shared" si="35"/>
        <v>1.9832255809889919E-2</v>
      </c>
      <c r="H134">
        <f t="shared" si="35"/>
        <v>2.0286448130251187E-2</v>
      </c>
      <c r="I134">
        <f t="shared" si="35"/>
        <v>1.7543097833166876E-2</v>
      </c>
      <c r="J134">
        <f t="shared" si="35"/>
        <v>1.8055074471770002E-2</v>
      </c>
      <c r="K134">
        <f t="shared" si="35"/>
        <v>1.8400933005053778E-2</v>
      </c>
      <c r="L134">
        <f t="shared" si="35"/>
        <v>1.7605027548209366E-2</v>
      </c>
      <c r="M134">
        <f t="shared" si="35"/>
        <v>1.6994978756276556E-2</v>
      </c>
      <c r="N134">
        <f t="shared" si="35"/>
        <v>1.6715957310016717E-2</v>
      </c>
      <c r="O134">
        <f t="shared" si="35"/>
        <v>1.6120066703724293E-2</v>
      </c>
      <c r="P134">
        <f t="shared" si="35"/>
        <v>1.6698697416186205E-2</v>
      </c>
      <c r="Q134">
        <f t="shared" si="35"/>
        <v>1.5641648553040958E-2</v>
      </c>
      <c r="R134">
        <f t="shared" si="35"/>
        <v>1.5447465849610622E-2</v>
      </c>
      <c r="S134">
        <f t="shared" si="35"/>
        <v>1.4530931339225017E-2</v>
      </c>
      <c r="T134">
        <f t="shared" si="35"/>
        <v>1.3099325957013862E-2</v>
      </c>
      <c r="U134">
        <f t="shared" si="35"/>
        <v>1.5246484838217856E-2</v>
      </c>
      <c r="V134">
        <f t="shared" si="35"/>
        <v>1.3028213696544139E-2</v>
      </c>
      <c r="W134">
        <f t="shared" si="35"/>
        <v>1.2196665963283393E-2</v>
      </c>
      <c r="X134">
        <f t="shared" si="35"/>
        <v>1.4827295703454086E-2</v>
      </c>
      <c r="Y134">
        <f t="shared" si="35"/>
        <v>1.338496506439936E-2</v>
      </c>
      <c r="Z134">
        <f t="shared" si="35"/>
        <v>1.3501009421265142E-2</v>
      </c>
      <c r="AA134">
        <f t="shared" si="35"/>
        <v>1.3155682582380632E-2</v>
      </c>
      <c r="AB134">
        <f t="shared" si="35"/>
        <v>1.2904581757040774E-2</v>
      </c>
      <c r="AC134">
        <f t="shared" si="35"/>
        <v>1.2774719502458292E-2</v>
      </c>
      <c r="AD134">
        <f t="shared" si="35"/>
        <v>1.4315100121741321E-2</v>
      </c>
    </row>
    <row r="135" spans="3:30" x14ac:dyDescent="0.25">
      <c r="C135">
        <v>55</v>
      </c>
      <c r="F135">
        <f t="shared" ref="F135:AD135" si="36">F41/SUM(F$6:F$96)</f>
        <v>2.0073632538569426E-2</v>
      </c>
      <c r="G135">
        <f t="shared" si="36"/>
        <v>1.9439105364319413E-2</v>
      </c>
      <c r="H135">
        <f t="shared" si="36"/>
        <v>1.941578512036916E-2</v>
      </c>
      <c r="I135">
        <f t="shared" si="36"/>
        <v>1.997481436449694E-2</v>
      </c>
      <c r="J135">
        <f t="shared" si="36"/>
        <v>1.7319016279875303E-2</v>
      </c>
      <c r="K135">
        <f t="shared" si="36"/>
        <v>1.7709818150403869E-2</v>
      </c>
      <c r="L135">
        <f t="shared" si="36"/>
        <v>1.8207644628099172E-2</v>
      </c>
      <c r="M135">
        <f t="shared" si="36"/>
        <v>1.7424144886485558E-2</v>
      </c>
      <c r="N135">
        <f t="shared" si="36"/>
        <v>1.663023445201663E-2</v>
      </c>
      <c r="O135">
        <f t="shared" si="36"/>
        <v>1.6376619489459957E-2</v>
      </c>
      <c r="P135">
        <f t="shared" si="36"/>
        <v>1.6015374759769378E-2</v>
      </c>
      <c r="Q135">
        <f t="shared" si="36"/>
        <v>1.6494054468738015E-2</v>
      </c>
      <c r="R135">
        <f t="shared" si="36"/>
        <v>1.5234690837907997E-2</v>
      </c>
      <c r="S135">
        <f t="shared" si="36"/>
        <v>1.5125764785859959E-2</v>
      </c>
      <c r="T135">
        <f t="shared" si="36"/>
        <v>1.4371105176141421E-2</v>
      </c>
      <c r="U135">
        <f t="shared" si="36"/>
        <v>1.2874809418939523E-2</v>
      </c>
      <c r="V135">
        <f t="shared" si="36"/>
        <v>1.510088405735798E-2</v>
      </c>
      <c r="W135">
        <f t="shared" si="36"/>
        <v>1.2871913905887319E-2</v>
      </c>
      <c r="X135">
        <f t="shared" si="36"/>
        <v>1.2047177759056445E-2</v>
      </c>
      <c r="Y135">
        <f t="shared" si="36"/>
        <v>1.4731879787860931E-2</v>
      </c>
      <c r="Z135">
        <f t="shared" si="36"/>
        <v>1.3248654104979812E-2</v>
      </c>
      <c r="AA135">
        <f t="shared" si="36"/>
        <v>1.3365837256220578E-2</v>
      </c>
      <c r="AB135">
        <f t="shared" si="36"/>
        <v>1.2904581757040774E-2</v>
      </c>
      <c r="AC135">
        <f t="shared" si="36"/>
        <v>1.2606631087952264E-2</v>
      </c>
      <c r="AD135">
        <f t="shared" si="36"/>
        <v>1.2509970194366315E-2</v>
      </c>
    </row>
    <row r="136" spans="3:30" x14ac:dyDescent="0.25">
      <c r="C136">
        <v>56</v>
      </c>
      <c r="F136">
        <f t="shared" ref="F136:AD136" si="37">F42/SUM(F$6:F$96)</f>
        <v>1.6479663394109396E-2</v>
      </c>
      <c r="G136">
        <f t="shared" si="37"/>
        <v>1.9875939192731087E-2</v>
      </c>
      <c r="H136">
        <f t="shared" si="37"/>
        <v>1.9154586217404554E-2</v>
      </c>
      <c r="I136">
        <f t="shared" si="37"/>
        <v>1.9149767684224238E-2</v>
      </c>
      <c r="J136">
        <f t="shared" si="37"/>
        <v>1.9700381018358158E-2</v>
      </c>
      <c r="K136">
        <f t="shared" si="37"/>
        <v>1.7061897974169581E-2</v>
      </c>
      <c r="L136">
        <f t="shared" si="37"/>
        <v>1.7475895316804407E-2</v>
      </c>
      <c r="M136">
        <f t="shared" si="37"/>
        <v>1.7939144242736363E-2</v>
      </c>
      <c r="N136">
        <f t="shared" si="37"/>
        <v>1.705884874201706E-2</v>
      </c>
      <c r="O136">
        <f t="shared" si="37"/>
        <v>1.6291101894214736E-2</v>
      </c>
      <c r="P136">
        <f t="shared" si="37"/>
        <v>1.6228913089899637E-2</v>
      </c>
      <c r="Q136">
        <f t="shared" si="37"/>
        <v>1.5812129736180368E-2</v>
      </c>
      <c r="R136">
        <f t="shared" si="37"/>
        <v>1.6213455891740076E-2</v>
      </c>
      <c r="S136">
        <f t="shared" si="37"/>
        <v>1.495581237253569E-2</v>
      </c>
      <c r="T136">
        <f t="shared" si="37"/>
        <v>1.5006994785705201E-2</v>
      </c>
      <c r="U136">
        <f t="shared" si="37"/>
        <v>1.4187701168897171E-2</v>
      </c>
      <c r="V136">
        <f t="shared" si="37"/>
        <v>1.2774417325832241E-2</v>
      </c>
      <c r="W136">
        <f t="shared" si="37"/>
        <v>1.4939860730111838E-2</v>
      </c>
      <c r="X136">
        <f t="shared" si="37"/>
        <v>1.2679022746419546E-2</v>
      </c>
      <c r="Y136">
        <f t="shared" si="37"/>
        <v>1.1785503830288745E-2</v>
      </c>
      <c r="Z136">
        <f t="shared" si="37"/>
        <v>1.4384253028263795E-2</v>
      </c>
      <c r="AA136">
        <f t="shared" si="37"/>
        <v>1.3029589778076665E-2</v>
      </c>
      <c r="AB136">
        <f t="shared" si="37"/>
        <v>1.319882303488861E-2</v>
      </c>
      <c r="AC136">
        <f t="shared" si="37"/>
        <v>1.2774719502458292E-2</v>
      </c>
      <c r="AD136">
        <f t="shared" si="37"/>
        <v>1.2426010662860502E-2</v>
      </c>
    </row>
    <row r="137" spans="3:30" x14ac:dyDescent="0.25">
      <c r="C137">
        <v>57</v>
      </c>
      <c r="F137">
        <f t="shared" ref="F137:AD137" si="38">F43/SUM(F$6:F$96)</f>
        <v>1.8495792426367463E-2</v>
      </c>
      <c r="G137">
        <f t="shared" si="38"/>
        <v>1.6119168268390705E-2</v>
      </c>
      <c r="H137">
        <f t="shared" si="38"/>
        <v>1.9546384571851465E-2</v>
      </c>
      <c r="I137">
        <f t="shared" si="38"/>
        <v>1.8932650136784055E-2</v>
      </c>
      <c r="J137">
        <f t="shared" si="38"/>
        <v>1.8704537582265326E-2</v>
      </c>
      <c r="K137">
        <f t="shared" si="38"/>
        <v>1.9221631894950544E-2</v>
      </c>
      <c r="L137">
        <f t="shared" si="38"/>
        <v>1.6744146005509643E-2</v>
      </c>
      <c r="M137">
        <f t="shared" si="38"/>
        <v>1.7209561821381055E-2</v>
      </c>
      <c r="N137">
        <f t="shared" si="38"/>
        <v>1.7616047319017617E-2</v>
      </c>
      <c r="O137">
        <f t="shared" si="38"/>
        <v>1.6804207465686064E-2</v>
      </c>
      <c r="P137">
        <f t="shared" si="38"/>
        <v>1.6143497757847534E-2</v>
      </c>
      <c r="Q137">
        <f t="shared" si="38"/>
        <v>1.6067851510889485E-2</v>
      </c>
      <c r="R137">
        <f t="shared" si="38"/>
        <v>1.5447465849610622E-2</v>
      </c>
      <c r="S137">
        <f t="shared" si="38"/>
        <v>1.6187967369136642E-2</v>
      </c>
      <c r="T137">
        <f t="shared" si="38"/>
        <v>1.4710246301242104E-2</v>
      </c>
      <c r="U137">
        <f t="shared" si="38"/>
        <v>1.4738268676943927E-2</v>
      </c>
      <c r="V137">
        <f t="shared" si="38"/>
        <v>1.3958800389154435E-2</v>
      </c>
      <c r="W137">
        <f t="shared" si="38"/>
        <v>1.2534289934585356E-2</v>
      </c>
      <c r="X137">
        <f t="shared" si="38"/>
        <v>1.4785172704296546E-2</v>
      </c>
      <c r="Y137">
        <f t="shared" si="38"/>
        <v>1.2501052277127705E-2</v>
      </c>
      <c r="Z137">
        <f t="shared" si="38"/>
        <v>1.1650403768506056E-2</v>
      </c>
      <c r="AA137">
        <f t="shared" si="38"/>
        <v>1.4164425016812374E-2</v>
      </c>
      <c r="AB137">
        <f t="shared" si="38"/>
        <v>1.2904581757040774E-2</v>
      </c>
      <c r="AC137">
        <f t="shared" si="38"/>
        <v>1.298483002059083E-2</v>
      </c>
      <c r="AD137">
        <f t="shared" si="38"/>
        <v>1.2426010662860502E-2</v>
      </c>
    </row>
    <row r="138" spans="3:30" x14ac:dyDescent="0.25">
      <c r="C138">
        <v>58</v>
      </c>
      <c r="F138">
        <f t="shared" ref="F138:AD138" si="39">F44/SUM(F$6:F$96)</f>
        <v>1.7224754558204769E-2</v>
      </c>
      <c r="G138">
        <f t="shared" si="39"/>
        <v>1.8128603879084396E-2</v>
      </c>
      <c r="H138">
        <f t="shared" si="39"/>
        <v>1.5846066779852858E-2</v>
      </c>
      <c r="I138">
        <f t="shared" si="39"/>
        <v>1.9280038212688349E-2</v>
      </c>
      <c r="J138">
        <f t="shared" si="39"/>
        <v>1.8617942500865951E-2</v>
      </c>
      <c r="K138">
        <f t="shared" si="39"/>
        <v>1.8400933005053778E-2</v>
      </c>
      <c r="L138">
        <f t="shared" si="39"/>
        <v>1.8810261707988982E-2</v>
      </c>
      <c r="M138">
        <f t="shared" si="39"/>
        <v>1.6351229560963049E-2</v>
      </c>
      <c r="N138">
        <f t="shared" si="39"/>
        <v>1.6973125884016973E-2</v>
      </c>
      <c r="O138">
        <f t="shared" si="39"/>
        <v>1.7488348227647839E-2</v>
      </c>
      <c r="P138">
        <f t="shared" si="39"/>
        <v>1.6527866752082E-2</v>
      </c>
      <c r="Q138">
        <f t="shared" si="39"/>
        <v>1.5939990623534926E-2</v>
      </c>
      <c r="R138">
        <f t="shared" si="39"/>
        <v>1.5915570875356399E-2</v>
      </c>
      <c r="S138">
        <f t="shared" si="39"/>
        <v>1.5168252889191026E-2</v>
      </c>
      <c r="T138">
        <f t="shared" si="39"/>
        <v>1.6024418161007248E-2</v>
      </c>
      <c r="U138">
        <f t="shared" si="39"/>
        <v>1.4441809249534135E-2</v>
      </c>
      <c r="V138">
        <f t="shared" si="39"/>
        <v>1.4466393130578233E-2</v>
      </c>
      <c r="W138">
        <f t="shared" si="39"/>
        <v>1.3715973834142223E-2</v>
      </c>
      <c r="X138">
        <f t="shared" si="39"/>
        <v>1.2384161752316766E-2</v>
      </c>
      <c r="Y138">
        <f t="shared" si="39"/>
        <v>1.4521424362320061E-2</v>
      </c>
      <c r="Z138">
        <f t="shared" si="39"/>
        <v>1.2323351278600269E-2</v>
      </c>
      <c r="AA138">
        <f t="shared" si="39"/>
        <v>1.1516476126429052E-2</v>
      </c>
      <c r="AB138">
        <f t="shared" si="39"/>
        <v>1.4039512400168139E-2</v>
      </c>
      <c r="AC138">
        <f t="shared" si="39"/>
        <v>1.2690675295205277E-2</v>
      </c>
      <c r="AD138">
        <f t="shared" si="39"/>
        <v>1.2887788086142479E-2</v>
      </c>
    </row>
    <row r="139" spans="3:30" x14ac:dyDescent="0.25">
      <c r="C139">
        <v>59</v>
      </c>
      <c r="F139">
        <f t="shared" ref="F139:AD139" si="40">F45/SUM(F$6:F$96)</f>
        <v>1.744389901823282E-2</v>
      </c>
      <c r="G139">
        <f t="shared" si="40"/>
        <v>1.6861785776690546E-2</v>
      </c>
      <c r="H139">
        <f t="shared" si="40"/>
        <v>1.7761525401593314E-2</v>
      </c>
      <c r="I139">
        <f t="shared" si="40"/>
        <v>1.545876937774111E-2</v>
      </c>
      <c r="J139">
        <f t="shared" si="40"/>
        <v>1.9050917907862834E-2</v>
      </c>
      <c r="K139">
        <f t="shared" si="40"/>
        <v>1.8400933005053778E-2</v>
      </c>
      <c r="L139">
        <f t="shared" si="40"/>
        <v>1.8164600550964187E-2</v>
      </c>
      <c r="M139">
        <f t="shared" si="40"/>
        <v>1.8454143598987168E-2</v>
      </c>
      <c r="N139">
        <f t="shared" si="40"/>
        <v>1.6244481591016244E-2</v>
      </c>
      <c r="O139">
        <f t="shared" si="40"/>
        <v>1.6804207465686064E-2</v>
      </c>
      <c r="P139">
        <f t="shared" si="40"/>
        <v>1.7168481742472774E-2</v>
      </c>
      <c r="Q139">
        <f t="shared" si="40"/>
        <v>1.6366193581383456E-2</v>
      </c>
      <c r="R139">
        <f t="shared" si="40"/>
        <v>1.5617685858972722E-2</v>
      </c>
      <c r="S139">
        <f t="shared" si="40"/>
        <v>1.5720598232494901E-2</v>
      </c>
      <c r="T139">
        <f t="shared" si="40"/>
        <v>1.4879816863792446E-2</v>
      </c>
      <c r="U139">
        <f t="shared" si="40"/>
        <v>1.5754700999491784E-2</v>
      </c>
      <c r="V139">
        <f t="shared" si="40"/>
        <v>1.4297195550103633E-2</v>
      </c>
      <c r="W139">
        <f t="shared" si="40"/>
        <v>1.4222409791095167E-2</v>
      </c>
      <c r="X139">
        <f t="shared" si="40"/>
        <v>1.3437236731255265E-2</v>
      </c>
      <c r="Y139">
        <f t="shared" si="40"/>
        <v>1.2206414681370487E-2</v>
      </c>
      <c r="Z139">
        <f t="shared" si="40"/>
        <v>1.425807537012113E-2</v>
      </c>
      <c r="AA139">
        <f t="shared" si="40"/>
        <v>1.2104909213180901E-2</v>
      </c>
      <c r="AB139">
        <f t="shared" si="40"/>
        <v>1.1307271963009667E-2</v>
      </c>
      <c r="AC139">
        <f t="shared" si="40"/>
        <v>1.3951338404000504E-2</v>
      </c>
      <c r="AD139">
        <f t="shared" si="40"/>
        <v>1.2677889257377943E-2</v>
      </c>
    </row>
    <row r="140" spans="3:30" x14ac:dyDescent="0.25">
      <c r="C140">
        <v>60</v>
      </c>
      <c r="F140">
        <f t="shared" ref="F140:AD140" si="41">F46/SUM(F$6:F$96)</f>
        <v>1.788218793828892E-2</v>
      </c>
      <c r="G140">
        <f t="shared" si="41"/>
        <v>1.6905469159531714E-2</v>
      </c>
      <c r="H140">
        <f t="shared" si="41"/>
        <v>1.6629663488746681E-2</v>
      </c>
      <c r="I140">
        <f t="shared" si="41"/>
        <v>1.7543097833166876E-2</v>
      </c>
      <c r="J140">
        <f t="shared" si="41"/>
        <v>1.5284031866989956E-2</v>
      </c>
      <c r="K140">
        <f t="shared" si="41"/>
        <v>1.8660101075547494E-2</v>
      </c>
      <c r="L140">
        <f t="shared" si="41"/>
        <v>1.7992424242424244E-2</v>
      </c>
      <c r="M140">
        <f t="shared" si="41"/>
        <v>1.7853311016694563E-2</v>
      </c>
      <c r="N140">
        <f t="shared" si="41"/>
        <v>1.8130384467018132E-2</v>
      </c>
      <c r="O140">
        <f t="shared" si="41"/>
        <v>1.5906272715611236E-2</v>
      </c>
      <c r="P140">
        <f t="shared" si="41"/>
        <v>1.631432842195174E-2</v>
      </c>
      <c r="Q140">
        <f t="shared" si="41"/>
        <v>1.6962877722371393E-2</v>
      </c>
      <c r="R140">
        <f t="shared" si="41"/>
        <v>1.6128345887059022E-2</v>
      </c>
      <c r="S140">
        <f t="shared" si="41"/>
        <v>1.5550645819170632E-2</v>
      </c>
      <c r="T140">
        <f t="shared" si="41"/>
        <v>1.5515706473356225E-2</v>
      </c>
      <c r="U140">
        <f t="shared" si="41"/>
        <v>1.4611214636625444E-2</v>
      </c>
      <c r="V140">
        <f t="shared" si="41"/>
        <v>1.5523878008544477E-2</v>
      </c>
      <c r="W140">
        <f t="shared" si="41"/>
        <v>1.4222409791095167E-2</v>
      </c>
      <c r="X140">
        <f t="shared" si="41"/>
        <v>1.3816343723673125E-2</v>
      </c>
      <c r="Y140">
        <f t="shared" si="41"/>
        <v>1.3258691809074838E-2</v>
      </c>
      <c r="Z140">
        <f t="shared" si="41"/>
        <v>1.2113055181695828E-2</v>
      </c>
      <c r="AA140">
        <f t="shared" si="41"/>
        <v>1.4038332212508406E-2</v>
      </c>
      <c r="AB140">
        <f t="shared" si="41"/>
        <v>1.1979823455233291E-2</v>
      </c>
      <c r="AC140">
        <f t="shared" si="41"/>
        <v>1.1093835357397991E-2</v>
      </c>
      <c r="AD140">
        <f t="shared" si="41"/>
        <v>1.3769363166953529E-2</v>
      </c>
    </row>
    <row r="141" spans="3:30" x14ac:dyDescent="0.25">
      <c r="C141">
        <v>61</v>
      </c>
      <c r="F141">
        <f t="shared" ref="F141:AD141" si="42">F47/SUM(F$6:F$96)</f>
        <v>1.5559256661991585E-2</v>
      </c>
      <c r="G141">
        <f t="shared" si="42"/>
        <v>1.7560719902149222E-2</v>
      </c>
      <c r="H141">
        <f t="shared" si="42"/>
        <v>1.6629663488746681E-2</v>
      </c>
      <c r="I141">
        <f t="shared" si="42"/>
        <v>1.6457510095965956E-2</v>
      </c>
      <c r="J141">
        <f t="shared" si="42"/>
        <v>1.7405611361274678E-2</v>
      </c>
      <c r="K141">
        <f t="shared" si="42"/>
        <v>1.503174808863548E-2</v>
      </c>
      <c r="L141">
        <f t="shared" si="42"/>
        <v>1.8336776859504134E-2</v>
      </c>
      <c r="M141">
        <f t="shared" si="42"/>
        <v>1.7853311016694563E-2</v>
      </c>
      <c r="N141">
        <f t="shared" si="42"/>
        <v>1.7658908748017659E-2</v>
      </c>
      <c r="O141">
        <f t="shared" si="42"/>
        <v>1.7915936203873946E-2</v>
      </c>
      <c r="P141">
        <f t="shared" si="42"/>
        <v>1.5759128763613069E-2</v>
      </c>
      <c r="Q141">
        <f t="shared" si="42"/>
        <v>1.6153092102459191E-2</v>
      </c>
      <c r="R141">
        <f t="shared" si="42"/>
        <v>1.6426230903442699E-2</v>
      </c>
      <c r="S141">
        <f t="shared" si="42"/>
        <v>1.5720598232494901E-2</v>
      </c>
      <c r="T141">
        <f t="shared" si="42"/>
        <v>1.5176565348255544E-2</v>
      </c>
      <c r="U141">
        <f t="shared" si="42"/>
        <v>1.533118753176351E-2</v>
      </c>
      <c r="V141">
        <f t="shared" si="42"/>
        <v>1.4466393130578233E-2</v>
      </c>
      <c r="W141">
        <f t="shared" si="42"/>
        <v>1.5319687697826545E-2</v>
      </c>
      <c r="X141">
        <f t="shared" si="42"/>
        <v>1.4111204717775905E-2</v>
      </c>
      <c r="Y141">
        <f t="shared" si="42"/>
        <v>1.3679602660156579E-2</v>
      </c>
      <c r="Z141">
        <f t="shared" si="42"/>
        <v>1.2954239569313594E-2</v>
      </c>
      <c r="AA141">
        <f t="shared" si="42"/>
        <v>1.2062878278412912E-2</v>
      </c>
      <c r="AB141">
        <f t="shared" si="42"/>
        <v>1.3703236654056327E-2</v>
      </c>
      <c r="AC141">
        <f t="shared" si="42"/>
        <v>1.1766189015422111E-2</v>
      </c>
      <c r="AD141">
        <f t="shared" si="42"/>
        <v>1.0788799798497124E-2</v>
      </c>
    </row>
    <row r="142" spans="3:30" x14ac:dyDescent="0.25">
      <c r="C142">
        <v>62</v>
      </c>
      <c r="F142">
        <f t="shared" ref="F142:AD142" si="43">F48/SUM(F$6:F$96)</f>
        <v>1.4200561009817671E-2</v>
      </c>
      <c r="G142">
        <f t="shared" si="43"/>
        <v>1.5158133845885026E-2</v>
      </c>
      <c r="H142">
        <f t="shared" si="43"/>
        <v>1.7239127595664098E-2</v>
      </c>
      <c r="I142">
        <f t="shared" si="43"/>
        <v>1.6370663076989884E-2</v>
      </c>
      <c r="J142">
        <f t="shared" si="43"/>
        <v>1.593349497748528E-2</v>
      </c>
      <c r="K142">
        <f t="shared" si="43"/>
        <v>1.71050926525852E-2</v>
      </c>
      <c r="L142">
        <f t="shared" si="43"/>
        <v>1.4893250688705234E-2</v>
      </c>
      <c r="M142">
        <f t="shared" si="43"/>
        <v>1.8110810694819963E-2</v>
      </c>
      <c r="N142">
        <f t="shared" si="43"/>
        <v>1.7573185890017572E-2</v>
      </c>
      <c r="O142">
        <f t="shared" si="43"/>
        <v>1.7445589430025228E-2</v>
      </c>
      <c r="P142">
        <f t="shared" si="43"/>
        <v>1.7638266068759342E-2</v>
      </c>
      <c r="Q142">
        <f t="shared" si="43"/>
        <v>1.5556407961471253E-2</v>
      </c>
      <c r="R142">
        <f t="shared" si="43"/>
        <v>1.5787905868334822E-2</v>
      </c>
      <c r="S142">
        <f t="shared" si="43"/>
        <v>1.6102991162474507E-2</v>
      </c>
      <c r="T142">
        <f t="shared" si="43"/>
        <v>1.547331383271864E-2</v>
      </c>
      <c r="U142">
        <f t="shared" si="43"/>
        <v>1.499237675758089E-2</v>
      </c>
      <c r="V142">
        <f t="shared" si="43"/>
        <v>1.514318345247663E-2</v>
      </c>
      <c r="W142">
        <f t="shared" si="43"/>
        <v>1.4180206794682423E-2</v>
      </c>
      <c r="X142">
        <f t="shared" si="43"/>
        <v>1.5164279696714406E-2</v>
      </c>
      <c r="Y142">
        <f t="shared" si="43"/>
        <v>1.3805875915481101E-2</v>
      </c>
      <c r="Z142">
        <f t="shared" si="43"/>
        <v>1.3374831763122477E-2</v>
      </c>
      <c r="AA142">
        <f t="shared" si="43"/>
        <v>1.269334229993275E-2</v>
      </c>
      <c r="AB142">
        <f t="shared" si="43"/>
        <v>1.1853720050441363E-2</v>
      </c>
      <c r="AC142">
        <f t="shared" si="43"/>
        <v>1.3531117367735429E-2</v>
      </c>
      <c r="AD142">
        <f t="shared" si="43"/>
        <v>1.1586415347802359E-2</v>
      </c>
    </row>
    <row r="143" spans="3:30" x14ac:dyDescent="0.25">
      <c r="C143">
        <v>63</v>
      </c>
      <c r="F143">
        <f t="shared" ref="F143:AD143" si="44">F49/SUM(F$6:F$96)</f>
        <v>1.4945652173913044E-2</v>
      </c>
      <c r="G143">
        <f t="shared" si="44"/>
        <v>1.397868250917351E-2</v>
      </c>
      <c r="H143">
        <f t="shared" si="44"/>
        <v>1.4844804318488529E-2</v>
      </c>
      <c r="I143">
        <f t="shared" si="44"/>
        <v>1.6891745190846325E-2</v>
      </c>
      <c r="J143">
        <f t="shared" si="44"/>
        <v>1.6106685140284033E-2</v>
      </c>
      <c r="K143">
        <f t="shared" si="44"/>
        <v>1.559327890803853E-2</v>
      </c>
      <c r="L143">
        <f t="shared" si="44"/>
        <v>1.6701101928374654E-2</v>
      </c>
      <c r="M143">
        <f t="shared" si="44"/>
        <v>1.4763314879189735E-2</v>
      </c>
      <c r="N143">
        <f t="shared" si="44"/>
        <v>1.7787493035017789E-2</v>
      </c>
      <c r="O143">
        <f t="shared" si="44"/>
        <v>1.7103519049044343E-2</v>
      </c>
      <c r="P143">
        <f t="shared" si="44"/>
        <v>1.7211189408498827E-2</v>
      </c>
      <c r="Q143">
        <f t="shared" si="44"/>
        <v>1.7133358905510803E-2</v>
      </c>
      <c r="R143">
        <f t="shared" si="44"/>
        <v>1.5319800842589047E-2</v>
      </c>
      <c r="S143">
        <f t="shared" si="44"/>
        <v>1.55931339225017E-2</v>
      </c>
      <c r="T143">
        <f t="shared" si="44"/>
        <v>1.5897240239094494E-2</v>
      </c>
      <c r="U143">
        <f t="shared" si="44"/>
        <v>1.5119430797899373E-2</v>
      </c>
      <c r="V143">
        <f t="shared" si="44"/>
        <v>1.4635590711052832E-2</v>
      </c>
      <c r="W143">
        <f t="shared" si="44"/>
        <v>1.4728845748048112E-2</v>
      </c>
      <c r="X143">
        <f t="shared" si="44"/>
        <v>1.3900589721988205E-2</v>
      </c>
      <c r="Y143">
        <f t="shared" si="44"/>
        <v>1.4858153043185454E-2</v>
      </c>
      <c r="Z143">
        <f t="shared" si="44"/>
        <v>1.3501009421265142E-2</v>
      </c>
      <c r="AA143">
        <f t="shared" si="44"/>
        <v>1.3239744451916611E-2</v>
      </c>
      <c r="AB143">
        <f t="shared" si="44"/>
        <v>1.2526271542664986E-2</v>
      </c>
      <c r="AC143">
        <f t="shared" si="44"/>
        <v>1.1598100600916083E-2</v>
      </c>
      <c r="AD143">
        <f t="shared" si="44"/>
        <v>1.3223626212165737E-2</v>
      </c>
    </row>
    <row r="144" spans="3:30" x14ac:dyDescent="0.25">
      <c r="C144">
        <v>64</v>
      </c>
      <c r="F144">
        <f t="shared" ref="F144:AD144" si="45">F50/SUM(F$6:F$96)</f>
        <v>1.358695652173913E-2</v>
      </c>
      <c r="G144">
        <f t="shared" si="45"/>
        <v>1.4721300017473352E-2</v>
      </c>
      <c r="H144">
        <f t="shared" si="45"/>
        <v>1.3843541857124201E-2</v>
      </c>
      <c r="I144">
        <f t="shared" si="45"/>
        <v>1.4546875678492336E-2</v>
      </c>
      <c r="J144">
        <f t="shared" si="45"/>
        <v>1.6712850710079667E-2</v>
      </c>
      <c r="K144">
        <f t="shared" si="45"/>
        <v>1.5895641656947863E-2</v>
      </c>
      <c r="L144">
        <f t="shared" si="45"/>
        <v>1.5495867768595042E-2</v>
      </c>
      <c r="M144">
        <f t="shared" si="45"/>
        <v>1.6479979400025751E-2</v>
      </c>
      <c r="N144">
        <f t="shared" si="45"/>
        <v>1.4487163002014487E-2</v>
      </c>
      <c r="O144">
        <f t="shared" si="45"/>
        <v>1.757386582289306E-2</v>
      </c>
      <c r="P144">
        <f t="shared" si="45"/>
        <v>1.6997651078368568E-2</v>
      </c>
      <c r="Q144">
        <f t="shared" si="45"/>
        <v>1.6962877722371393E-2</v>
      </c>
      <c r="R144">
        <f t="shared" si="45"/>
        <v>1.7022000936210053E-2</v>
      </c>
      <c r="S144">
        <f t="shared" si="45"/>
        <v>1.5040788579197824E-2</v>
      </c>
      <c r="T144">
        <f t="shared" si="45"/>
        <v>1.5218957988893129E-2</v>
      </c>
      <c r="U144">
        <f t="shared" si="45"/>
        <v>1.5712349652718956E-2</v>
      </c>
      <c r="V144">
        <f t="shared" si="45"/>
        <v>1.484708768664608E-2</v>
      </c>
      <c r="W144">
        <f t="shared" si="45"/>
        <v>1.4433424773158895E-2</v>
      </c>
      <c r="X144">
        <f t="shared" si="45"/>
        <v>1.4448188711036225E-2</v>
      </c>
      <c r="Y144">
        <f t="shared" si="45"/>
        <v>1.3637511575048404E-2</v>
      </c>
      <c r="Z144">
        <f t="shared" si="45"/>
        <v>1.4720726783310902E-2</v>
      </c>
      <c r="AA144">
        <f t="shared" si="45"/>
        <v>1.3407868190988567E-2</v>
      </c>
      <c r="AB144">
        <f t="shared" si="45"/>
        <v>1.2904581757040774E-2</v>
      </c>
      <c r="AC144">
        <f t="shared" si="45"/>
        <v>1.2396520569819726E-2</v>
      </c>
      <c r="AD144">
        <f t="shared" si="45"/>
        <v>1.1502455816296544E-2</v>
      </c>
    </row>
    <row r="145" spans="3:30" x14ac:dyDescent="0.25">
      <c r="C145">
        <v>65</v>
      </c>
      <c r="F145">
        <f t="shared" ref="F145:AD145" si="46">F51/SUM(F$6:F$96)</f>
        <v>1.4156732117812062E-2</v>
      </c>
      <c r="G145">
        <f t="shared" si="46"/>
        <v>1.3367115149397169E-2</v>
      </c>
      <c r="H145">
        <f t="shared" si="46"/>
        <v>1.4409472813547517E-2</v>
      </c>
      <c r="I145">
        <f t="shared" si="46"/>
        <v>1.3548134960267489E-2</v>
      </c>
      <c r="J145">
        <f t="shared" si="46"/>
        <v>1.4071700727398684E-2</v>
      </c>
      <c r="K145">
        <f t="shared" si="46"/>
        <v>1.6327588441104057E-2</v>
      </c>
      <c r="L145">
        <f t="shared" si="46"/>
        <v>1.5452823691460055E-2</v>
      </c>
      <c r="M145">
        <f t="shared" si="46"/>
        <v>1.4806231492210635E-2</v>
      </c>
      <c r="N145">
        <f t="shared" si="46"/>
        <v>1.6073035875016073E-2</v>
      </c>
      <c r="O145">
        <f t="shared" si="46"/>
        <v>1.4281438405952024E-2</v>
      </c>
      <c r="P145">
        <f t="shared" si="46"/>
        <v>1.7382020072603033E-2</v>
      </c>
      <c r="Q145">
        <f t="shared" si="46"/>
        <v>1.6792396539231983E-2</v>
      </c>
      <c r="R145">
        <f t="shared" si="46"/>
        <v>1.6596450912804799E-2</v>
      </c>
      <c r="S145">
        <f t="shared" si="46"/>
        <v>1.6655336505778381E-2</v>
      </c>
      <c r="T145">
        <f t="shared" si="46"/>
        <v>1.4837424223154861E-2</v>
      </c>
      <c r="U145">
        <f t="shared" si="46"/>
        <v>1.499237675758089E-2</v>
      </c>
      <c r="V145">
        <f t="shared" si="46"/>
        <v>1.5354680428069879E-2</v>
      </c>
      <c r="W145">
        <f t="shared" si="46"/>
        <v>1.456003376239713E-2</v>
      </c>
      <c r="X145">
        <f t="shared" si="46"/>
        <v>1.4111204717775905E-2</v>
      </c>
      <c r="Y145">
        <f t="shared" si="46"/>
        <v>1.4310968936779191E-2</v>
      </c>
      <c r="Z145">
        <f t="shared" si="46"/>
        <v>1.3585127860026918E-2</v>
      </c>
      <c r="AA145">
        <f t="shared" si="46"/>
        <v>1.4500672494956289E-2</v>
      </c>
      <c r="AB145">
        <f t="shared" si="46"/>
        <v>1.3282891971416562E-2</v>
      </c>
      <c r="AC145">
        <f t="shared" si="46"/>
        <v>1.2606631087952264E-2</v>
      </c>
      <c r="AD145">
        <f t="shared" si="46"/>
        <v>1.2258091599848872E-2</v>
      </c>
    </row>
    <row r="146" spans="3:30" x14ac:dyDescent="0.25">
      <c r="C146">
        <v>66</v>
      </c>
      <c r="F146">
        <f t="shared" ref="F146:AD146" si="47">F52/SUM(F$6:F$96)</f>
        <v>1.2535063113604488E-2</v>
      </c>
      <c r="G146">
        <f t="shared" si="47"/>
        <v>1.4022365892014678E-2</v>
      </c>
      <c r="H146">
        <f t="shared" si="47"/>
        <v>1.3147011449218579E-2</v>
      </c>
      <c r="I146">
        <f t="shared" si="47"/>
        <v>1.4112640583611967E-2</v>
      </c>
      <c r="J146">
        <f t="shared" si="47"/>
        <v>1.3292344994804296E-2</v>
      </c>
      <c r="K146">
        <f t="shared" si="47"/>
        <v>1.3822297092998143E-2</v>
      </c>
      <c r="L146">
        <f t="shared" si="47"/>
        <v>1.6141528925619833E-2</v>
      </c>
      <c r="M146">
        <f t="shared" si="47"/>
        <v>1.5106647783356937E-2</v>
      </c>
      <c r="N146">
        <f t="shared" si="47"/>
        <v>1.4658608718014658E-2</v>
      </c>
      <c r="O146">
        <f t="shared" si="47"/>
        <v>1.5991790310856457E-2</v>
      </c>
      <c r="P146">
        <f t="shared" si="47"/>
        <v>1.4050822122571001E-2</v>
      </c>
      <c r="Q146">
        <f t="shared" si="47"/>
        <v>1.70481183139411E-2</v>
      </c>
      <c r="R146">
        <f t="shared" si="47"/>
        <v>1.6341120898761649E-2</v>
      </c>
      <c r="S146">
        <f t="shared" si="47"/>
        <v>1.6357919782460911E-2</v>
      </c>
      <c r="T146">
        <f t="shared" si="47"/>
        <v>1.6278774004832762E-2</v>
      </c>
      <c r="U146">
        <f t="shared" si="47"/>
        <v>1.4653565983398273E-2</v>
      </c>
      <c r="V146">
        <f t="shared" si="47"/>
        <v>1.4550991920815532E-2</v>
      </c>
      <c r="W146">
        <f t="shared" si="47"/>
        <v>1.5108672715762819E-2</v>
      </c>
      <c r="X146">
        <f t="shared" si="47"/>
        <v>1.4195450716090985E-2</v>
      </c>
      <c r="Y146">
        <f t="shared" si="47"/>
        <v>1.3679602660156579E-2</v>
      </c>
      <c r="Z146">
        <f t="shared" si="47"/>
        <v>1.4131897711978465E-2</v>
      </c>
      <c r="AA146">
        <f t="shared" si="47"/>
        <v>1.32817753866846E-2</v>
      </c>
      <c r="AB146">
        <f t="shared" si="47"/>
        <v>1.4333753678015973E-2</v>
      </c>
      <c r="AC146">
        <f t="shared" si="47"/>
        <v>1.298483002059083E-2</v>
      </c>
      <c r="AD146">
        <f t="shared" si="47"/>
        <v>1.2300071365601781E-2</v>
      </c>
    </row>
    <row r="147" spans="3:30" x14ac:dyDescent="0.25">
      <c r="C147">
        <v>67</v>
      </c>
      <c r="F147">
        <f t="shared" ref="F147:AD147" si="48">F53/SUM(F$6:F$96)</f>
        <v>1.1921458625525946E-2</v>
      </c>
      <c r="G147">
        <f t="shared" si="48"/>
        <v>1.2143980429844487E-2</v>
      </c>
      <c r="H147">
        <f t="shared" si="48"/>
        <v>1.3582342954159592E-2</v>
      </c>
      <c r="I147">
        <f t="shared" si="48"/>
        <v>1.298362933692301E-2</v>
      </c>
      <c r="J147">
        <f t="shared" si="48"/>
        <v>1.3725320401801178E-2</v>
      </c>
      <c r="K147">
        <f t="shared" si="48"/>
        <v>1.3217571595179474E-2</v>
      </c>
      <c r="L147">
        <f t="shared" si="48"/>
        <v>1.3601928374655648E-2</v>
      </c>
      <c r="M147">
        <f t="shared" si="48"/>
        <v>1.5879146817733145E-2</v>
      </c>
      <c r="N147">
        <f t="shared" si="48"/>
        <v>1.483005443401483E-2</v>
      </c>
      <c r="O147">
        <f t="shared" si="48"/>
        <v>1.4324197203574635E-2</v>
      </c>
      <c r="P147">
        <f t="shared" si="48"/>
        <v>1.5801836429639119E-2</v>
      </c>
      <c r="Q147">
        <f t="shared" si="48"/>
        <v>1.3808975834292289E-2</v>
      </c>
      <c r="R147">
        <f t="shared" si="48"/>
        <v>1.6639005915145326E-2</v>
      </c>
      <c r="S147">
        <f t="shared" si="48"/>
        <v>1.606050305914344E-2</v>
      </c>
      <c r="T147">
        <f t="shared" si="48"/>
        <v>1.6109203442282418E-2</v>
      </c>
      <c r="U147">
        <f t="shared" si="48"/>
        <v>1.600880908012875E-2</v>
      </c>
      <c r="V147">
        <f t="shared" si="48"/>
        <v>1.4339494945222284E-2</v>
      </c>
      <c r="W147">
        <f t="shared" si="48"/>
        <v>1.4264612787507912E-2</v>
      </c>
      <c r="X147">
        <f t="shared" si="48"/>
        <v>1.4827295703454086E-2</v>
      </c>
      <c r="Y147">
        <f t="shared" si="48"/>
        <v>1.3847967000589274E-2</v>
      </c>
      <c r="Z147">
        <f t="shared" si="48"/>
        <v>1.3458950201884253E-2</v>
      </c>
      <c r="AA147">
        <f t="shared" si="48"/>
        <v>1.3996301277740417E-2</v>
      </c>
      <c r="AB147">
        <f t="shared" si="48"/>
        <v>1.319882303488861E-2</v>
      </c>
      <c r="AC147">
        <f t="shared" si="48"/>
        <v>1.4161448922133042E-2</v>
      </c>
      <c r="AD147">
        <f t="shared" si="48"/>
        <v>1.2677889257377943E-2</v>
      </c>
    </row>
    <row r="148" spans="3:30" x14ac:dyDescent="0.25">
      <c r="C148">
        <v>68</v>
      </c>
      <c r="F148">
        <f t="shared" ref="F148:AD148" si="49">F54/SUM(F$6:F$96)</f>
        <v>1.1789971949509117E-2</v>
      </c>
      <c r="G148">
        <f t="shared" si="49"/>
        <v>1.1794513367115149E-2</v>
      </c>
      <c r="H148">
        <f t="shared" si="49"/>
        <v>1.1884550084889643E-2</v>
      </c>
      <c r="I148">
        <f t="shared" si="49"/>
        <v>1.3331017412827304E-2</v>
      </c>
      <c r="J148">
        <f t="shared" si="49"/>
        <v>1.2556286802909595E-2</v>
      </c>
      <c r="K148">
        <f t="shared" si="49"/>
        <v>1.3433544987257569E-2</v>
      </c>
      <c r="L148">
        <f t="shared" si="49"/>
        <v>1.2913223140495868E-2</v>
      </c>
      <c r="M148">
        <f t="shared" si="49"/>
        <v>1.3347066649500021E-2</v>
      </c>
      <c r="N148">
        <f t="shared" si="49"/>
        <v>1.5558698727015558E-2</v>
      </c>
      <c r="O148">
        <f t="shared" si="49"/>
        <v>1.4238679608329413E-2</v>
      </c>
      <c r="P148">
        <f t="shared" si="49"/>
        <v>1.400811445654495E-2</v>
      </c>
      <c r="Q148">
        <f t="shared" si="49"/>
        <v>1.5471167369901548E-2</v>
      </c>
      <c r="R148">
        <f t="shared" si="49"/>
        <v>1.3532490744286991E-2</v>
      </c>
      <c r="S148">
        <f t="shared" si="49"/>
        <v>1.6315431679129844E-2</v>
      </c>
      <c r="T148">
        <f t="shared" si="49"/>
        <v>1.5770062317181737E-2</v>
      </c>
      <c r="U148">
        <f t="shared" si="49"/>
        <v>1.5881755039810267E-2</v>
      </c>
      <c r="V148">
        <f t="shared" si="49"/>
        <v>1.5777674379256378E-2</v>
      </c>
      <c r="W148">
        <f t="shared" si="49"/>
        <v>1.4222409791095167E-2</v>
      </c>
      <c r="X148">
        <f t="shared" si="49"/>
        <v>1.3647851727042965E-2</v>
      </c>
      <c r="Y148">
        <f t="shared" si="49"/>
        <v>1.4521424362320061E-2</v>
      </c>
      <c r="Z148">
        <f t="shared" si="49"/>
        <v>1.3711305518169582E-2</v>
      </c>
      <c r="AA148">
        <f t="shared" si="49"/>
        <v>1.32817753866846E-2</v>
      </c>
      <c r="AB148">
        <f t="shared" si="49"/>
        <v>1.3787305590584279E-2</v>
      </c>
      <c r="AC148">
        <f t="shared" si="49"/>
        <v>1.2900785813337815E-2</v>
      </c>
      <c r="AD148">
        <f t="shared" si="49"/>
        <v>1.4063221527223878E-2</v>
      </c>
    </row>
    <row r="149" spans="3:30" x14ac:dyDescent="0.25">
      <c r="C149">
        <v>69</v>
      </c>
      <c r="F149">
        <f t="shared" ref="F149:AD149" si="50">F55/SUM(F$6:F$96)</f>
        <v>1.1264025245441796E-2</v>
      </c>
      <c r="G149">
        <f t="shared" si="50"/>
        <v>1.1576096452909313E-2</v>
      </c>
      <c r="H149">
        <f t="shared" si="50"/>
        <v>1.140568542945453E-2</v>
      </c>
      <c r="I149">
        <f t="shared" si="50"/>
        <v>1.1637500542793869E-2</v>
      </c>
      <c r="J149">
        <f t="shared" si="50"/>
        <v>1.2989262209906477E-2</v>
      </c>
      <c r="K149">
        <f t="shared" si="50"/>
        <v>1.2267288670035851E-2</v>
      </c>
      <c r="L149">
        <f t="shared" si="50"/>
        <v>1.3300619834710745E-2</v>
      </c>
      <c r="M149">
        <f t="shared" si="50"/>
        <v>1.2617484228144715E-2</v>
      </c>
      <c r="N149">
        <f t="shared" si="50"/>
        <v>1.3072735845013072E-2</v>
      </c>
      <c r="O149">
        <f t="shared" si="50"/>
        <v>1.5179373156026852E-2</v>
      </c>
      <c r="P149">
        <f t="shared" si="50"/>
        <v>1.3837283792440744E-2</v>
      </c>
      <c r="Q149">
        <f t="shared" si="50"/>
        <v>1.3851596130077143E-2</v>
      </c>
      <c r="R149">
        <f t="shared" si="50"/>
        <v>1.5362355844929572E-2</v>
      </c>
      <c r="S149">
        <f t="shared" si="50"/>
        <v>1.3256288239292998E-2</v>
      </c>
      <c r="T149">
        <f t="shared" si="50"/>
        <v>1.5982025520369664E-2</v>
      </c>
      <c r="U149">
        <f t="shared" si="50"/>
        <v>1.5500592918854819E-2</v>
      </c>
      <c r="V149">
        <f t="shared" si="50"/>
        <v>1.5650776193900429E-2</v>
      </c>
      <c r="W149">
        <f t="shared" si="50"/>
        <v>1.5572905676303017E-2</v>
      </c>
      <c r="X149">
        <f t="shared" si="50"/>
        <v>1.3732097725358045E-2</v>
      </c>
      <c r="Y149">
        <f t="shared" si="50"/>
        <v>1.3300782894183011E-2</v>
      </c>
      <c r="Z149">
        <f t="shared" si="50"/>
        <v>1.4047779273216689E-2</v>
      </c>
      <c r="AA149">
        <f t="shared" si="50"/>
        <v>1.3449899125756557E-2</v>
      </c>
      <c r="AB149">
        <f t="shared" si="50"/>
        <v>1.307271963009668E-2</v>
      </c>
      <c r="AC149">
        <f t="shared" si="50"/>
        <v>1.3447073160482414E-2</v>
      </c>
      <c r="AD149">
        <f t="shared" si="50"/>
        <v>1.2677889257377943E-2</v>
      </c>
    </row>
    <row r="150" spans="3:30" x14ac:dyDescent="0.25">
      <c r="C150">
        <v>70</v>
      </c>
      <c r="F150">
        <f t="shared" ref="F150:AD150" si="51">F56/SUM(F$6:F$96)</f>
        <v>9.6423562412342213E-3</v>
      </c>
      <c r="G150">
        <f t="shared" si="51"/>
        <v>1.0920845710291805E-2</v>
      </c>
      <c r="H150">
        <f t="shared" si="51"/>
        <v>1.1275085977972226E-2</v>
      </c>
      <c r="I150">
        <f t="shared" si="51"/>
        <v>1.1159841938425464E-2</v>
      </c>
      <c r="J150">
        <f t="shared" si="51"/>
        <v>1.1473848285417388E-2</v>
      </c>
      <c r="K150">
        <f t="shared" si="51"/>
        <v>1.2828819489438901E-2</v>
      </c>
      <c r="L150">
        <f t="shared" si="51"/>
        <v>1.2052341597796144E-2</v>
      </c>
      <c r="M150">
        <f t="shared" si="51"/>
        <v>1.3003733745332818E-2</v>
      </c>
      <c r="N150">
        <f t="shared" si="51"/>
        <v>1.2472675839012473E-2</v>
      </c>
      <c r="O150">
        <f t="shared" si="51"/>
        <v>1.2827639286783255E-2</v>
      </c>
      <c r="P150">
        <f t="shared" si="51"/>
        <v>1.4819560111039931E-2</v>
      </c>
      <c r="Q150">
        <f t="shared" si="51"/>
        <v>1.3595874355368026E-2</v>
      </c>
      <c r="R150">
        <f t="shared" si="51"/>
        <v>1.3575045746627516E-2</v>
      </c>
      <c r="S150">
        <f t="shared" si="51"/>
        <v>1.5040788579197824E-2</v>
      </c>
      <c r="T150">
        <f t="shared" si="51"/>
        <v>1.2929755394463522E-2</v>
      </c>
      <c r="U150">
        <f t="shared" si="51"/>
        <v>1.5627646959173302E-2</v>
      </c>
      <c r="V150">
        <f t="shared" si="51"/>
        <v>1.527008163783258E-2</v>
      </c>
      <c r="W150">
        <f t="shared" si="51"/>
        <v>1.5361890694239291E-2</v>
      </c>
      <c r="X150">
        <f t="shared" si="51"/>
        <v>1.5374894692502106E-2</v>
      </c>
      <c r="Y150">
        <f t="shared" si="51"/>
        <v>1.3300782894183011E-2</v>
      </c>
      <c r="Z150">
        <f t="shared" si="51"/>
        <v>1.303835800807537E-2</v>
      </c>
      <c r="AA150">
        <f t="shared" si="51"/>
        <v>1.378614660390047E-2</v>
      </c>
      <c r="AB150">
        <f t="shared" si="51"/>
        <v>1.3156788566624632E-2</v>
      </c>
      <c r="AC150">
        <f t="shared" si="51"/>
        <v>1.2774719502458292E-2</v>
      </c>
      <c r="AD150">
        <f t="shared" si="51"/>
        <v>1.330758574367155E-2</v>
      </c>
    </row>
    <row r="151" spans="3:30" x14ac:dyDescent="0.25">
      <c r="C151">
        <v>71</v>
      </c>
      <c r="F151">
        <f t="shared" ref="F151:AD151" si="52">F57/SUM(F$6:F$96)</f>
        <v>8.7657784011220194E-3</v>
      </c>
      <c r="G151">
        <f t="shared" si="52"/>
        <v>9.0861436309627817E-3</v>
      </c>
      <c r="H151">
        <f t="shared" si="52"/>
        <v>1.0665621871054808E-2</v>
      </c>
      <c r="I151">
        <f t="shared" si="52"/>
        <v>1.0986147900473316E-2</v>
      </c>
      <c r="J151">
        <f t="shared" si="52"/>
        <v>1.0824385174922065E-2</v>
      </c>
      <c r="K151">
        <f t="shared" si="52"/>
        <v>1.123061638806099E-2</v>
      </c>
      <c r="L151">
        <f t="shared" si="52"/>
        <v>1.2525826446280992E-2</v>
      </c>
      <c r="M151">
        <f t="shared" si="52"/>
        <v>1.1630402128664006E-2</v>
      </c>
      <c r="N151">
        <f t="shared" si="52"/>
        <v>1.272984441301273E-2</v>
      </c>
      <c r="O151">
        <f t="shared" si="52"/>
        <v>1.2186257322444093E-2</v>
      </c>
      <c r="P151">
        <f t="shared" si="52"/>
        <v>1.2427930813581038E-2</v>
      </c>
      <c r="Q151">
        <f t="shared" si="52"/>
        <v>1.4704002045774198E-2</v>
      </c>
      <c r="R151">
        <f t="shared" si="52"/>
        <v>1.3277160730243841E-2</v>
      </c>
      <c r="S151">
        <f t="shared" si="52"/>
        <v>1.321380013596193E-2</v>
      </c>
      <c r="T151">
        <f t="shared" si="52"/>
        <v>1.4837424223154861E-2</v>
      </c>
      <c r="U151">
        <f t="shared" si="52"/>
        <v>1.274775537862104E-2</v>
      </c>
      <c r="V151">
        <f t="shared" si="52"/>
        <v>1.5185482847595279E-2</v>
      </c>
      <c r="W151">
        <f t="shared" si="52"/>
        <v>1.5024266722937328E-2</v>
      </c>
      <c r="X151">
        <f t="shared" si="52"/>
        <v>1.5080033698399326E-2</v>
      </c>
      <c r="Y151">
        <f t="shared" si="52"/>
        <v>1.5068608468726324E-2</v>
      </c>
      <c r="Z151">
        <f t="shared" si="52"/>
        <v>1.3122476446837146E-2</v>
      </c>
      <c r="AA151">
        <f t="shared" si="52"/>
        <v>1.2945527908540685E-2</v>
      </c>
      <c r="AB151">
        <f t="shared" si="52"/>
        <v>1.3535098781000421E-2</v>
      </c>
      <c r="AC151">
        <f t="shared" si="52"/>
        <v>1.298483002059083E-2</v>
      </c>
      <c r="AD151">
        <f t="shared" si="52"/>
        <v>1.2635909491625037E-2</v>
      </c>
    </row>
    <row r="152" spans="3:30" x14ac:dyDescent="0.25">
      <c r="C152">
        <v>72</v>
      </c>
      <c r="F152">
        <f t="shared" ref="F152:AD152" si="53">F58/SUM(F$6:F$96)</f>
        <v>7.9768583450210376E-3</v>
      </c>
      <c r="G152">
        <f t="shared" si="53"/>
        <v>8.6493098025511098E-3</v>
      </c>
      <c r="H152">
        <f t="shared" si="53"/>
        <v>8.9242958512907571E-3</v>
      </c>
      <c r="I152">
        <f t="shared" si="53"/>
        <v>1.0334795258152764E-2</v>
      </c>
      <c r="J152">
        <f t="shared" si="53"/>
        <v>1.0737790093522688E-2</v>
      </c>
      <c r="K152">
        <f t="shared" si="53"/>
        <v>1.0712280247073561E-2</v>
      </c>
      <c r="L152">
        <f t="shared" si="53"/>
        <v>1.0976239669421487E-2</v>
      </c>
      <c r="M152">
        <f t="shared" si="53"/>
        <v>1.2231234710956612E-2</v>
      </c>
      <c r="N152">
        <f t="shared" si="53"/>
        <v>1.1315417256011316E-2</v>
      </c>
      <c r="O152">
        <f t="shared" si="53"/>
        <v>1.248556890580237E-2</v>
      </c>
      <c r="P152">
        <f t="shared" si="53"/>
        <v>1.1830023489216314E-2</v>
      </c>
      <c r="Q152">
        <f t="shared" si="53"/>
        <v>1.2018923411328474E-2</v>
      </c>
      <c r="R152">
        <f t="shared" si="53"/>
        <v>1.4426145793438018E-2</v>
      </c>
      <c r="S152">
        <f t="shared" si="53"/>
        <v>1.291638341264446E-2</v>
      </c>
      <c r="T152">
        <f t="shared" si="53"/>
        <v>1.284497011318835E-2</v>
      </c>
      <c r="U152">
        <f t="shared" si="53"/>
        <v>1.4568863289852617E-2</v>
      </c>
      <c r="V152">
        <f t="shared" si="53"/>
        <v>1.2562920350238992E-2</v>
      </c>
      <c r="W152">
        <f t="shared" si="53"/>
        <v>1.4728845748048112E-2</v>
      </c>
      <c r="X152">
        <f t="shared" si="53"/>
        <v>1.4827295703454086E-2</v>
      </c>
      <c r="Y152">
        <f t="shared" si="53"/>
        <v>1.4858153043185454E-2</v>
      </c>
      <c r="Z152">
        <f t="shared" si="53"/>
        <v>1.4846904441453567E-2</v>
      </c>
      <c r="AA152">
        <f t="shared" si="53"/>
        <v>1.2777404169468728E-2</v>
      </c>
      <c r="AB152">
        <f t="shared" si="53"/>
        <v>1.2652374947456914E-2</v>
      </c>
      <c r="AC152">
        <f t="shared" si="53"/>
        <v>1.3068874227843846E-2</v>
      </c>
      <c r="AD152">
        <f t="shared" si="53"/>
        <v>1.2845808320389573E-2</v>
      </c>
    </row>
    <row r="153" spans="3:30" x14ac:dyDescent="0.25">
      <c r="C153">
        <v>73</v>
      </c>
      <c r="F153">
        <f t="shared" ref="F153:AD153" si="54">F59/SUM(F$6:F$96)</f>
        <v>7.4509116409537165E-3</v>
      </c>
      <c r="G153">
        <f t="shared" si="54"/>
        <v>7.7319587628865982E-3</v>
      </c>
      <c r="H153">
        <f t="shared" si="54"/>
        <v>8.5324974968438473E-3</v>
      </c>
      <c r="I153">
        <f t="shared" si="54"/>
        <v>8.8149724260714758E-3</v>
      </c>
      <c r="J153">
        <f t="shared" si="54"/>
        <v>1.0131624523727052E-2</v>
      </c>
      <c r="K153">
        <f t="shared" si="54"/>
        <v>1.0453112176579845E-2</v>
      </c>
      <c r="L153">
        <f t="shared" si="54"/>
        <v>1.0545798898071626E-2</v>
      </c>
      <c r="M153">
        <f t="shared" si="54"/>
        <v>1.0814986481266898E-2</v>
      </c>
      <c r="N153">
        <f t="shared" si="54"/>
        <v>1.1915477262011916E-2</v>
      </c>
      <c r="O153">
        <f t="shared" si="54"/>
        <v>1.1074528584256211E-2</v>
      </c>
      <c r="P153">
        <f t="shared" si="54"/>
        <v>1.2171684817424727E-2</v>
      </c>
      <c r="Q153">
        <f t="shared" si="54"/>
        <v>1.1592720453479947E-2</v>
      </c>
      <c r="R153">
        <f t="shared" si="54"/>
        <v>1.178773564832546E-2</v>
      </c>
      <c r="S153">
        <f t="shared" si="54"/>
        <v>1.4191026512576478E-2</v>
      </c>
      <c r="T153">
        <f t="shared" si="54"/>
        <v>1.2548221628725252E-2</v>
      </c>
      <c r="U153">
        <f t="shared" si="54"/>
        <v>1.2408944604438421E-2</v>
      </c>
      <c r="V153">
        <f t="shared" si="54"/>
        <v>1.3958800389154435E-2</v>
      </c>
      <c r="W153">
        <f t="shared" si="54"/>
        <v>1.2449883941759865E-2</v>
      </c>
      <c r="X153">
        <f t="shared" si="54"/>
        <v>1.4279696714406065E-2</v>
      </c>
      <c r="Y153">
        <f t="shared" si="54"/>
        <v>1.4605606532536409E-2</v>
      </c>
      <c r="Z153">
        <f t="shared" si="54"/>
        <v>1.4426312247644684E-2</v>
      </c>
      <c r="AA153">
        <f t="shared" si="54"/>
        <v>1.4584734364492266E-2</v>
      </c>
      <c r="AB153">
        <f t="shared" si="54"/>
        <v>1.2442202606137032E-2</v>
      </c>
      <c r="AC153">
        <f t="shared" si="54"/>
        <v>1.2480564777072741E-2</v>
      </c>
      <c r="AD153">
        <f t="shared" si="54"/>
        <v>1.2761848788883758E-2</v>
      </c>
    </row>
    <row r="154" spans="3:30" x14ac:dyDescent="0.25">
      <c r="C154">
        <v>74</v>
      </c>
      <c r="F154">
        <f t="shared" ref="F154:AD154" si="55">F60/SUM(F$6:F$96)</f>
        <v>7.231767180925666E-3</v>
      </c>
      <c r="G154">
        <f t="shared" si="55"/>
        <v>7.38249170015726E-3</v>
      </c>
      <c r="H154">
        <f t="shared" si="55"/>
        <v>7.4441687344913151E-3</v>
      </c>
      <c r="I154">
        <f t="shared" si="55"/>
        <v>8.4241608406791443E-3</v>
      </c>
      <c r="J154">
        <f t="shared" si="55"/>
        <v>8.5296155178385871E-3</v>
      </c>
      <c r="K154">
        <f t="shared" si="55"/>
        <v>1.0021165392423653E-2</v>
      </c>
      <c r="L154">
        <f t="shared" si="55"/>
        <v>1.015840220385675E-2</v>
      </c>
      <c r="M154">
        <f t="shared" si="55"/>
        <v>1.0214153898974293E-2</v>
      </c>
      <c r="N154">
        <f t="shared" si="55"/>
        <v>1.0672495821010673E-2</v>
      </c>
      <c r="O154">
        <f t="shared" si="55"/>
        <v>1.1630392953350152E-2</v>
      </c>
      <c r="P154">
        <f t="shared" si="55"/>
        <v>1.0762331838565023E-2</v>
      </c>
      <c r="Q154">
        <f t="shared" si="55"/>
        <v>1.180582193240421E-2</v>
      </c>
      <c r="R154">
        <f t="shared" si="55"/>
        <v>1.1404740627260735E-2</v>
      </c>
      <c r="S154">
        <f t="shared" si="55"/>
        <v>1.1386811692726036E-2</v>
      </c>
      <c r="T154">
        <f t="shared" si="55"/>
        <v>1.3904786129127983E-2</v>
      </c>
      <c r="U154">
        <f t="shared" si="55"/>
        <v>1.2154836523801458E-2</v>
      </c>
      <c r="V154">
        <f t="shared" si="55"/>
        <v>1.2182225794171143E-2</v>
      </c>
      <c r="W154">
        <f t="shared" si="55"/>
        <v>1.3715973834142223E-2</v>
      </c>
      <c r="X154">
        <f t="shared" si="55"/>
        <v>1.2089300758213985E-2</v>
      </c>
      <c r="Y154">
        <f t="shared" si="55"/>
        <v>1.4058422426130146E-2</v>
      </c>
      <c r="Z154">
        <f t="shared" si="55"/>
        <v>1.425807537012113E-2</v>
      </c>
      <c r="AA154">
        <f t="shared" si="55"/>
        <v>1.3996301277740417E-2</v>
      </c>
      <c r="AB154">
        <f t="shared" si="55"/>
        <v>1.4417822614543926E-2</v>
      </c>
      <c r="AC154">
        <f t="shared" si="55"/>
        <v>1.2270454258940203E-2</v>
      </c>
      <c r="AD154">
        <f t="shared" si="55"/>
        <v>1.2342051131354687E-2</v>
      </c>
    </row>
    <row r="155" spans="3:30" x14ac:dyDescent="0.25">
      <c r="C155">
        <v>75</v>
      </c>
      <c r="F155">
        <f t="shared" ref="F155:AD155" si="56">F61/SUM(F$6:F$96)</f>
        <v>7.7138849929873771E-3</v>
      </c>
      <c r="G155">
        <f t="shared" si="56"/>
        <v>6.9893412545867549E-3</v>
      </c>
      <c r="H155">
        <f t="shared" si="56"/>
        <v>7.2265029820208085E-3</v>
      </c>
      <c r="I155">
        <f t="shared" si="56"/>
        <v>7.2083025750141125E-3</v>
      </c>
      <c r="J155">
        <f t="shared" si="56"/>
        <v>8.1832351922410812E-3</v>
      </c>
      <c r="K155">
        <f t="shared" si="56"/>
        <v>8.3797676126301235E-3</v>
      </c>
      <c r="L155">
        <f t="shared" si="56"/>
        <v>9.8140495867768598E-3</v>
      </c>
      <c r="M155">
        <f t="shared" si="56"/>
        <v>9.9566542208488901E-3</v>
      </c>
      <c r="N155">
        <f t="shared" si="56"/>
        <v>9.8581286700098573E-3</v>
      </c>
      <c r="O155">
        <f t="shared" si="56"/>
        <v>1.0433146619917047E-2</v>
      </c>
      <c r="P155">
        <f t="shared" si="56"/>
        <v>1.118940849882554E-2</v>
      </c>
      <c r="Q155">
        <f t="shared" si="56"/>
        <v>1.0569833354643482E-2</v>
      </c>
      <c r="R155">
        <f t="shared" si="56"/>
        <v>1.170262564364441E-2</v>
      </c>
      <c r="S155">
        <f t="shared" si="56"/>
        <v>1.1131883072739632E-2</v>
      </c>
      <c r="T155">
        <f t="shared" si="56"/>
        <v>1.1191657128322523E-2</v>
      </c>
      <c r="U155">
        <f t="shared" si="56"/>
        <v>1.355243096730476E-2</v>
      </c>
      <c r="V155">
        <f t="shared" si="56"/>
        <v>1.2013028213696543E-2</v>
      </c>
      <c r="W155">
        <f t="shared" si="56"/>
        <v>1.1901244988394176E-2</v>
      </c>
      <c r="X155">
        <f t="shared" si="56"/>
        <v>1.3437236731255265E-2</v>
      </c>
      <c r="Y155">
        <f t="shared" si="56"/>
        <v>1.174341274518057E-2</v>
      </c>
      <c r="Z155">
        <f t="shared" si="56"/>
        <v>1.3753364737550471E-2</v>
      </c>
      <c r="AA155">
        <f t="shared" si="56"/>
        <v>1.4080363147276396E-2</v>
      </c>
      <c r="AB155">
        <f t="shared" si="56"/>
        <v>1.3871374527112233E-2</v>
      </c>
      <c r="AC155">
        <f t="shared" si="56"/>
        <v>1.4245493129386057E-2</v>
      </c>
      <c r="AD155">
        <f t="shared" si="56"/>
        <v>1.1838293942319802E-2</v>
      </c>
    </row>
    <row r="156" spans="3:30" x14ac:dyDescent="0.25">
      <c r="C156">
        <v>76</v>
      </c>
      <c r="F156">
        <f t="shared" ref="F156:AD156" si="57">F62/SUM(F$6:F$96)</f>
        <v>4.952664796633941E-3</v>
      </c>
      <c r="G156">
        <f t="shared" si="57"/>
        <v>7.5572252315219291E-3</v>
      </c>
      <c r="H156">
        <f t="shared" si="57"/>
        <v>6.8347046275738978E-3</v>
      </c>
      <c r="I156">
        <f t="shared" si="57"/>
        <v>6.9043380085978545E-3</v>
      </c>
      <c r="J156">
        <f t="shared" si="57"/>
        <v>7.0574991340491859E-3</v>
      </c>
      <c r="K156">
        <f t="shared" si="57"/>
        <v>8.0342101853051705E-3</v>
      </c>
      <c r="L156">
        <f t="shared" si="57"/>
        <v>8.1353305785123974E-3</v>
      </c>
      <c r="M156">
        <f t="shared" si="57"/>
        <v>9.4416548645980865E-3</v>
      </c>
      <c r="N156">
        <f t="shared" si="57"/>
        <v>9.6009600960096017E-3</v>
      </c>
      <c r="O156">
        <f t="shared" si="57"/>
        <v>9.5352118698422209E-3</v>
      </c>
      <c r="P156">
        <f t="shared" si="57"/>
        <v>1.0121716848174247E-2</v>
      </c>
      <c r="Q156">
        <f t="shared" si="57"/>
        <v>1.0569833354643482E-2</v>
      </c>
      <c r="R156">
        <f t="shared" si="57"/>
        <v>1.0255755564066556E-2</v>
      </c>
      <c r="S156">
        <f t="shared" si="57"/>
        <v>1.1429299796057104E-2</v>
      </c>
      <c r="T156">
        <f t="shared" si="57"/>
        <v>1.0810123362584256E-2</v>
      </c>
      <c r="U156">
        <f t="shared" si="57"/>
        <v>1.1053701507707946E-2</v>
      </c>
      <c r="V156">
        <f t="shared" si="57"/>
        <v>1.3197411277018739E-2</v>
      </c>
      <c r="W156">
        <f t="shared" si="57"/>
        <v>1.1605824013504958E-2</v>
      </c>
      <c r="X156">
        <f t="shared" si="57"/>
        <v>1.1794439764111205E-2</v>
      </c>
      <c r="Y156">
        <f t="shared" si="57"/>
        <v>1.3090327468642141E-2</v>
      </c>
      <c r="Z156">
        <f t="shared" si="57"/>
        <v>1.1313930013458951E-2</v>
      </c>
      <c r="AA156">
        <f t="shared" si="57"/>
        <v>1.3575991930060524E-2</v>
      </c>
      <c r="AB156">
        <f t="shared" si="57"/>
        <v>1.3451029844472467E-2</v>
      </c>
      <c r="AC156">
        <f t="shared" si="57"/>
        <v>1.3531117367735429E-2</v>
      </c>
      <c r="AD156">
        <f t="shared" si="57"/>
        <v>1.3811342932706435E-2</v>
      </c>
    </row>
    <row r="157" spans="3:30" x14ac:dyDescent="0.25">
      <c r="C157">
        <v>77</v>
      </c>
      <c r="F157">
        <f t="shared" ref="F157:AD157" si="58">F63/SUM(F$6:F$96)</f>
        <v>6.0922159887798035E-3</v>
      </c>
      <c r="G157">
        <f t="shared" si="58"/>
        <v>4.6741219640048922E-3</v>
      </c>
      <c r="H157">
        <f t="shared" si="58"/>
        <v>7.313569283009011E-3</v>
      </c>
      <c r="I157">
        <f t="shared" si="58"/>
        <v>6.6437969516696341E-3</v>
      </c>
      <c r="J157">
        <f t="shared" si="58"/>
        <v>6.884308971250433E-3</v>
      </c>
      <c r="K157">
        <f t="shared" si="58"/>
        <v>6.9111485464990715E-3</v>
      </c>
      <c r="L157">
        <f t="shared" si="58"/>
        <v>7.8770661157024791E-3</v>
      </c>
      <c r="M157">
        <f t="shared" si="58"/>
        <v>7.7249903437620702E-3</v>
      </c>
      <c r="N157">
        <f t="shared" si="58"/>
        <v>9.086622948009087E-3</v>
      </c>
      <c r="O157">
        <f t="shared" si="58"/>
        <v>9.1076238936161121E-3</v>
      </c>
      <c r="P157">
        <f t="shared" si="58"/>
        <v>9.267563527653214E-3</v>
      </c>
      <c r="Q157">
        <f t="shared" si="58"/>
        <v>9.8452883263009851E-3</v>
      </c>
      <c r="R157">
        <f t="shared" si="58"/>
        <v>1.0255755564066556E-2</v>
      </c>
      <c r="S157">
        <f t="shared" si="58"/>
        <v>9.8997280761386804E-3</v>
      </c>
      <c r="T157">
        <f t="shared" si="58"/>
        <v>1.1064479206409768E-2</v>
      </c>
      <c r="U157">
        <f t="shared" si="58"/>
        <v>1.0418431306115535E-2</v>
      </c>
      <c r="V157">
        <f t="shared" si="58"/>
        <v>1.0786345755255699E-2</v>
      </c>
      <c r="W157">
        <f t="shared" si="58"/>
        <v>1.2871913905887319E-2</v>
      </c>
      <c r="X157">
        <f t="shared" si="58"/>
        <v>1.1415332771693345E-2</v>
      </c>
      <c r="Y157">
        <f t="shared" si="58"/>
        <v>1.1575048404747875E-2</v>
      </c>
      <c r="Z157">
        <f t="shared" si="58"/>
        <v>1.2617765814266487E-2</v>
      </c>
      <c r="AA157">
        <f t="shared" si="58"/>
        <v>1.0928043039677203E-2</v>
      </c>
      <c r="AB157">
        <f t="shared" si="58"/>
        <v>1.3240857503152586E-2</v>
      </c>
      <c r="AC157">
        <f t="shared" si="58"/>
        <v>1.3278984745976384E-2</v>
      </c>
      <c r="AD157">
        <f t="shared" si="58"/>
        <v>1.2971747617648294E-2</v>
      </c>
    </row>
    <row r="158" spans="3:30" x14ac:dyDescent="0.25">
      <c r="C158">
        <v>78</v>
      </c>
      <c r="F158">
        <f t="shared" ref="F158:AD158" si="59">F64/SUM(F$6:F$96)</f>
        <v>6.4866760168302944E-3</v>
      </c>
      <c r="G158">
        <f t="shared" si="59"/>
        <v>5.9846234492399088E-3</v>
      </c>
      <c r="H158">
        <f t="shared" si="59"/>
        <v>4.6145139523747335E-3</v>
      </c>
      <c r="I158">
        <f t="shared" si="59"/>
        <v>7.121455556038039E-3</v>
      </c>
      <c r="J158">
        <f t="shared" si="59"/>
        <v>6.4080360235538618E-3</v>
      </c>
      <c r="K158">
        <f t="shared" si="59"/>
        <v>6.6951751544209754E-3</v>
      </c>
      <c r="L158">
        <f t="shared" si="59"/>
        <v>6.7148760330578514E-3</v>
      </c>
      <c r="M158">
        <f t="shared" si="59"/>
        <v>7.4245740526157674E-3</v>
      </c>
      <c r="N158">
        <f t="shared" si="59"/>
        <v>7.4578886460074578E-3</v>
      </c>
      <c r="O158">
        <f t="shared" si="59"/>
        <v>8.8510711078804462E-3</v>
      </c>
      <c r="P158">
        <f t="shared" si="59"/>
        <v>8.7550715353405945E-3</v>
      </c>
      <c r="Q158">
        <f t="shared" si="59"/>
        <v>8.99288241060393E-3</v>
      </c>
      <c r="R158">
        <f t="shared" si="59"/>
        <v>9.6599855312992037E-3</v>
      </c>
      <c r="S158">
        <f t="shared" si="59"/>
        <v>9.9422161794697483E-3</v>
      </c>
      <c r="T158">
        <f t="shared" si="59"/>
        <v>9.6655220653694522E-3</v>
      </c>
      <c r="U158">
        <f t="shared" si="59"/>
        <v>1.0672539386752498E-2</v>
      </c>
      <c r="V158">
        <f t="shared" si="59"/>
        <v>1.0236453618713252E-2</v>
      </c>
      <c r="W158">
        <f t="shared" si="59"/>
        <v>1.0381937117535345E-2</v>
      </c>
      <c r="X158">
        <f t="shared" si="59"/>
        <v>1.2384161752316766E-2</v>
      </c>
      <c r="Y158">
        <f t="shared" si="59"/>
        <v>1.0985773213233437E-2</v>
      </c>
      <c r="Z158">
        <f t="shared" si="59"/>
        <v>1.1440107671601614E-2</v>
      </c>
      <c r="AA158">
        <f t="shared" si="59"/>
        <v>1.2062878278412912E-2</v>
      </c>
      <c r="AB158">
        <f t="shared" si="59"/>
        <v>1.0718789407313998E-2</v>
      </c>
      <c r="AC158">
        <f t="shared" si="59"/>
        <v>1.3152918435096861E-2</v>
      </c>
      <c r="AD158">
        <f t="shared" si="59"/>
        <v>1.2887788086142479E-2</v>
      </c>
    </row>
    <row r="159" spans="3:30" x14ac:dyDescent="0.25">
      <c r="C159">
        <v>79</v>
      </c>
      <c r="F159">
        <f t="shared" ref="F159:AD159" si="60">F65/SUM(F$6:F$96)</f>
        <v>6.6619915848527347E-3</v>
      </c>
      <c r="G159">
        <f t="shared" si="60"/>
        <v>6.2467237462869125E-3</v>
      </c>
      <c r="H159">
        <f t="shared" si="60"/>
        <v>5.6593095642331632E-3</v>
      </c>
      <c r="I159">
        <f t="shared" si="60"/>
        <v>4.2989274393156456E-3</v>
      </c>
      <c r="J159">
        <f t="shared" si="60"/>
        <v>7.0142015933494974E-3</v>
      </c>
      <c r="K159">
        <f t="shared" si="60"/>
        <v>6.176839013433545E-3</v>
      </c>
      <c r="L159">
        <f t="shared" si="60"/>
        <v>6.4996556473829199E-3</v>
      </c>
      <c r="M159">
        <f t="shared" si="60"/>
        <v>6.5662417921977601E-3</v>
      </c>
      <c r="N159">
        <f t="shared" si="60"/>
        <v>7.1149972140071146E-3</v>
      </c>
      <c r="O159">
        <f t="shared" si="60"/>
        <v>7.1407192029760121E-3</v>
      </c>
      <c r="P159">
        <f t="shared" si="60"/>
        <v>8.5415332052103353E-3</v>
      </c>
      <c r="Q159">
        <f t="shared" si="60"/>
        <v>8.5666794527554015E-3</v>
      </c>
      <c r="R159">
        <f t="shared" si="60"/>
        <v>8.8514404868292266E-3</v>
      </c>
      <c r="S159">
        <f t="shared" si="60"/>
        <v>9.3048946295037384E-3</v>
      </c>
      <c r="T159">
        <f t="shared" si="60"/>
        <v>9.5383441434566951E-3</v>
      </c>
      <c r="U159">
        <f t="shared" si="60"/>
        <v>9.4019989835676769E-3</v>
      </c>
      <c r="V159">
        <f t="shared" si="60"/>
        <v>1.0532549384543802E-2</v>
      </c>
      <c r="W159">
        <f t="shared" si="60"/>
        <v>1.0044313146233382E-2</v>
      </c>
      <c r="X159">
        <f t="shared" si="60"/>
        <v>1.0151642796967144E-2</v>
      </c>
      <c r="Y159">
        <f t="shared" si="60"/>
        <v>1.2080141426045963E-2</v>
      </c>
      <c r="Z159">
        <f t="shared" si="60"/>
        <v>1.0809219380888292E-2</v>
      </c>
      <c r="AA159">
        <f t="shared" si="60"/>
        <v>1.1222259583053127E-2</v>
      </c>
      <c r="AB159">
        <f t="shared" si="60"/>
        <v>1.1643547709121479E-2</v>
      </c>
      <c r="AC159">
        <f t="shared" si="60"/>
        <v>1.0463503803000379E-2</v>
      </c>
      <c r="AD159">
        <f t="shared" si="60"/>
        <v>1.2845808320389573E-2</v>
      </c>
    </row>
    <row r="160" spans="3:30" x14ac:dyDescent="0.25">
      <c r="C160">
        <v>80</v>
      </c>
      <c r="F160">
        <f t="shared" ref="F160:AD160" si="61">F66/SUM(F$6:F$96)</f>
        <v>6.0483870967741934E-3</v>
      </c>
      <c r="G160">
        <f t="shared" si="61"/>
        <v>6.4214572776515816E-3</v>
      </c>
      <c r="H160">
        <f t="shared" si="61"/>
        <v>6.1381742196682772E-3</v>
      </c>
      <c r="I160">
        <f t="shared" si="61"/>
        <v>5.6016327239567501E-3</v>
      </c>
      <c r="J160">
        <f t="shared" si="61"/>
        <v>4.0266712850710084E-3</v>
      </c>
      <c r="K160">
        <f t="shared" si="61"/>
        <v>6.7815645112522136E-3</v>
      </c>
      <c r="L160">
        <f t="shared" si="61"/>
        <v>5.9831267217630851E-3</v>
      </c>
      <c r="M160">
        <f t="shared" si="61"/>
        <v>6.2658255010514573E-3</v>
      </c>
      <c r="N160">
        <f t="shared" si="61"/>
        <v>6.4292143500064292E-3</v>
      </c>
      <c r="O160">
        <f t="shared" si="61"/>
        <v>6.9269252148629577E-3</v>
      </c>
      <c r="P160">
        <f t="shared" si="61"/>
        <v>6.8759342301943195E-3</v>
      </c>
      <c r="Q160">
        <f t="shared" si="61"/>
        <v>8.2257170864765798E-3</v>
      </c>
      <c r="R160">
        <f t="shared" si="61"/>
        <v>8.2131154517213496E-3</v>
      </c>
      <c r="S160">
        <f t="shared" si="61"/>
        <v>8.6675730795377302E-3</v>
      </c>
      <c r="T160">
        <f t="shared" si="61"/>
        <v>9.029632455805672E-3</v>
      </c>
      <c r="U160">
        <f t="shared" si="61"/>
        <v>9.274944943249196E-3</v>
      </c>
      <c r="V160">
        <f t="shared" si="61"/>
        <v>9.2635675309843072E-3</v>
      </c>
      <c r="W160">
        <f t="shared" si="61"/>
        <v>1.0213125131884365E-2</v>
      </c>
      <c r="X160">
        <f t="shared" si="61"/>
        <v>9.8146588037068237E-3</v>
      </c>
      <c r="Y160">
        <f t="shared" si="61"/>
        <v>1.0059769340853607E-2</v>
      </c>
      <c r="Z160">
        <f t="shared" si="61"/>
        <v>1.156628532974428E-2</v>
      </c>
      <c r="AA160">
        <f t="shared" si="61"/>
        <v>1.0591795561533288E-2</v>
      </c>
      <c r="AB160">
        <f t="shared" si="61"/>
        <v>1.080285834384195E-2</v>
      </c>
      <c r="AC160">
        <f t="shared" si="61"/>
        <v>1.1387990082783545E-2</v>
      </c>
      <c r="AD160">
        <f t="shared" si="61"/>
        <v>1.0285042609462239E-2</v>
      </c>
    </row>
    <row r="161" spans="3:30" x14ac:dyDescent="0.25">
      <c r="C161">
        <v>81</v>
      </c>
      <c r="F161">
        <f t="shared" ref="F161:AD161" si="62">F67/SUM(F$6:F$96)</f>
        <v>4.7335203366058905E-3</v>
      </c>
      <c r="G161">
        <f t="shared" si="62"/>
        <v>5.7662065350340729E-3</v>
      </c>
      <c r="H161">
        <f t="shared" si="62"/>
        <v>5.9640416176918723E-3</v>
      </c>
      <c r="I161">
        <f t="shared" si="62"/>
        <v>5.905597290373008E-3</v>
      </c>
      <c r="J161">
        <f t="shared" si="62"/>
        <v>5.4121925874610326E-3</v>
      </c>
      <c r="K161">
        <f t="shared" si="62"/>
        <v>3.8443263789901083E-3</v>
      </c>
      <c r="L161">
        <f t="shared" si="62"/>
        <v>6.5857438016528923E-3</v>
      </c>
      <c r="M161">
        <f t="shared" si="62"/>
        <v>5.7508261448006521E-3</v>
      </c>
      <c r="N161">
        <f t="shared" si="62"/>
        <v>6.086322918006086E-3</v>
      </c>
      <c r="O161">
        <f t="shared" si="62"/>
        <v>6.3710608457690169E-3</v>
      </c>
      <c r="P161">
        <f t="shared" si="62"/>
        <v>6.6623959000640613E-3</v>
      </c>
      <c r="Q161">
        <f t="shared" si="62"/>
        <v>6.7766270297915871E-3</v>
      </c>
      <c r="R161">
        <f t="shared" si="62"/>
        <v>8.0003404400187245E-3</v>
      </c>
      <c r="S161">
        <f t="shared" si="62"/>
        <v>7.9877634262406523E-3</v>
      </c>
      <c r="T161">
        <f t="shared" si="62"/>
        <v>8.4361354868794786E-3</v>
      </c>
      <c r="U161">
        <f t="shared" si="62"/>
        <v>8.7667287819752672E-3</v>
      </c>
      <c r="V161">
        <f t="shared" si="62"/>
        <v>9.0520705553910584E-3</v>
      </c>
      <c r="W161">
        <f t="shared" si="62"/>
        <v>8.9470352395020041E-3</v>
      </c>
      <c r="X161">
        <f t="shared" si="62"/>
        <v>9.8989048020219038E-3</v>
      </c>
      <c r="Y161">
        <f t="shared" si="62"/>
        <v>9.512585234447344E-3</v>
      </c>
      <c r="Z161">
        <f t="shared" si="62"/>
        <v>9.8839165545087475E-3</v>
      </c>
      <c r="AA161">
        <f t="shared" si="62"/>
        <v>1.101210490921318E-2</v>
      </c>
      <c r="AB161">
        <f t="shared" si="62"/>
        <v>1.0256410256410256E-2</v>
      </c>
      <c r="AC161">
        <f t="shared" si="62"/>
        <v>1.0505525906626886E-2</v>
      </c>
      <c r="AD161">
        <f t="shared" si="62"/>
        <v>1.1166617690273288E-2</v>
      </c>
    </row>
    <row r="162" spans="3:30" x14ac:dyDescent="0.25">
      <c r="C162">
        <v>82</v>
      </c>
      <c r="F162">
        <f t="shared" ref="F162:AD162" si="63">F68/SUM(F$6:F$96)</f>
        <v>4.7335203366058905E-3</v>
      </c>
      <c r="G162">
        <f t="shared" si="63"/>
        <v>4.5430718154813908E-3</v>
      </c>
      <c r="H162">
        <f t="shared" si="63"/>
        <v>5.6157764137390624E-3</v>
      </c>
      <c r="I162">
        <f t="shared" si="63"/>
        <v>5.6884797429328235E-3</v>
      </c>
      <c r="J162">
        <f t="shared" si="63"/>
        <v>5.71527537235885E-3</v>
      </c>
      <c r="K162">
        <f t="shared" si="63"/>
        <v>5.053777374627446E-3</v>
      </c>
      <c r="L162">
        <f t="shared" si="63"/>
        <v>3.7017906336088155E-3</v>
      </c>
      <c r="M162">
        <f t="shared" si="63"/>
        <v>6.3945753401141586E-3</v>
      </c>
      <c r="N162">
        <f t="shared" si="63"/>
        <v>5.5291243410055292E-3</v>
      </c>
      <c r="O162">
        <f t="shared" si="63"/>
        <v>5.6869200838072431E-3</v>
      </c>
      <c r="P162">
        <f t="shared" si="63"/>
        <v>6.2780269058295961E-3</v>
      </c>
      <c r="Q162">
        <f t="shared" si="63"/>
        <v>6.393044367727912E-3</v>
      </c>
      <c r="R162">
        <f t="shared" si="63"/>
        <v>6.5109153581003444E-3</v>
      </c>
      <c r="S162">
        <f t="shared" si="63"/>
        <v>7.7753229095853162E-3</v>
      </c>
      <c r="T162">
        <f t="shared" si="63"/>
        <v>7.5034973928526007E-3</v>
      </c>
      <c r="U162">
        <f t="shared" si="63"/>
        <v>8.3008639674741654E-3</v>
      </c>
      <c r="V162">
        <f t="shared" si="63"/>
        <v>8.5444778139672599E-3</v>
      </c>
      <c r="W162">
        <f t="shared" si="63"/>
        <v>8.7360202574382779E-3</v>
      </c>
      <c r="X162">
        <f t="shared" si="63"/>
        <v>8.6773378264532429E-3</v>
      </c>
      <c r="Y162">
        <f t="shared" si="63"/>
        <v>9.5967674046636923E-3</v>
      </c>
      <c r="Z162">
        <f t="shared" si="63"/>
        <v>9.1689098250336467E-3</v>
      </c>
      <c r="AA162">
        <f t="shared" si="63"/>
        <v>9.7091459314055141E-3</v>
      </c>
      <c r="AB162">
        <f t="shared" si="63"/>
        <v>1.0676754939050022E-2</v>
      </c>
      <c r="AC162">
        <f t="shared" si="63"/>
        <v>1.0043282766735303E-2</v>
      </c>
      <c r="AD162">
        <f t="shared" si="63"/>
        <v>1.0159103312203517E-2</v>
      </c>
    </row>
    <row r="163" spans="3:30" x14ac:dyDescent="0.25">
      <c r="C163">
        <v>83</v>
      </c>
      <c r="F163">
        <f t="shared" ref="F163:AD163" si="64">F69/SUM(F$6:F$96)</f>
        <v>4.51437587657784E-3</v>
      </c>
      <c r="G163">
        <f t="shared" si="64"/>
        <v>4.5430718154813908E-3</v>
      </c>
      <c r="H163">
        <f t="shared" si="64"/>
        <v>4.222715597927822E-3</v>
      </c>
      <c r="I163">
        <f t="shared" si="64"/>
        <v>5.5582092144687133E-3</v>
      </c>
      <c r="J163">
        <f t="shared" si="64"/>
        <v>5.4121925874610326E-3</v>
      </c>
      <c r="K163">
        <f t="shared" si="64"/>
        <v>5.4857241587836381E-3</v>
      </c>
      <c r="L163">
        <f t="shared" si="64"/>
        <v>4.9070247933884299E-3</v>
      </c>
      <c r="M163">
        <f t="shared" si="64"/>
        <v>3.6049954937556329E-3</v>
      </c>
      <c r="N163">
        <f t="shared" si="64"/>
        <v>6.3006300630063005E-3</v>
      </c>
      <c r="O163">
        <f t="shared" si="64"/>
        <v>5.430367298071578E-3</v>
      </c>
      <c r="P163">
        <f t="shared" si="64"/>
        <v>5.5092889173606659E-3</v>
      </c>
      <c r="Q163">
        <f t="shared" si="64"/>
        <v>6.0520820014490903E-3</v>
      </c>
      <c r="R163">
        <f t="shared" si="64"/>
        <v>6.2555853440571943E-3</v>
      </c>
      <c r="S163">
        <f t="shared" si="64"/>
        <v>6.3307273963290282E-3</v>
      </c>
      <c r="T163">
        <f t="shared" si="64"/>
        <v>7.5034973928526007E-3</v>
      </c>
      <c r="U163">
        <f t="shared" si="64"/>
        <v>7.3267829916991364E-3</v>
      </c>
      <c r="V163">
        <f t="shared" si="64"/>
        <v>7.9945856774248127E-3</v>
      </c>
      <c r="W163">
        <f t="shared" si="64"/>
        <v>8.1873813040725888E-3</v>
      </c>
      <c r="X163">
        <f t="shared" si="64"/>
        <v>8.4667228306655427E-3</v>
      </c>
      <c r="Y163">
        <f t="shared" si="64"/>
        <v>8.4603081067429926E-3</v>
      </c>
      <c r="Z163">
        <f t="shared" si="64"/>
        <v>9.2530282637954247E-3</v>
      </c>
      <c r="AA163">
        <f t="shared" si="64"/>
        <v>8.7844653665097513E-3</v>
      </c>
      <c r="AB163">
        <f t="shared" si="64"/>
        <v>9.3316519546027751E-3</v>
      </c>
      <c r="AC163">
        <f t="shared" si="64"/>
        <v>1.0211371181241333E-2</v>
      </c>
      <c r="AD163">
        <f t="shared" si="64"/>
        <v>9.949204483438983E-3</v>
      </c>
    </row>
    <row r="164" spans="3:30" x14ac:dyDescent="0.25">
      <c r="C164">
        <v>84</v>
      </c>
      <c r="F164">
        <f t="shared" ref="F164:AD164" si="65">F70/SUM(F$6:F$96)</f>
        <v>5.3032959326788217E-3</v>
      </c>
      <c r="G164">
        <f t="shared" si="65"/>
        <v>4.4120216669578894E-3</v>
      </c>
      <c r="H164">
        <f t="shared" si="65"/>
        <v>4.4403813503983286E-3</v>
      </c>
      <c r="I164">
        <f t="shared" si="65"/>
        <v>4.0383863823874244E-3</v>
      </c>
      <c r="J164">
        <f t="shared" si="65"/>
        <v>5.4554901281607202E-3</v>
      </c>
      <c r="K164">
        <f t="shared" si="65"/>
        <v>5.3129454451211608E-3</v>
      </c>
      <c r="L164">
        <f t="shared" si="65"/>
        <v>5.208333333333333E-3</v>
      </c>
      <c r="M164">
        <f t="shared" si="65"/>
        <v>4.6779108192781423E-3</v>
      </c>
      <c r="N164">
        <f t="shared" si="65"/>
        <v>3.4289143200034291E-3</v>
      </c>
      <c r="O164">
        <f t="shared" si="65"/>
        <v>6.0717492624107411E-3</v>
      </c>
      <c r="P164">
        <f t="shared" si="65"/>
        <v>5.3384582532564591E-3</v>
      </c>
      <c r="Q164">
        <f t="shared" si="65"/>
        <v>5.1996760857520351E-3</v>
      </c>
      <c r="R164">
        <f t="shared" si="65"/>
        <v>5.7023703136303673E-3</v>
      </c>
      <c r="S164">
        <f t="shared" si="65"/>
        <v>6.1182868796736912E-3</v>
      </c>
      <c r="T164">
        <f t="shared" si="65"/>
        <v>6.1045402518122857E-3</v>
      </c>
      <c r="U164">
        <f t="shared" si="65"/>
        <v>7.2844316449263086E-3</v>
      </c>
      <c r="V164">
        <f t="shared" si="65"/>
        <v>7.021699589695867E-3</v>
      </c>
      <c r="W164">
        <f t="shared" si="65"/>
        <v>7.8075543363578812E-3</v>
      </c>
      <c r="X164">
        <f t="shared" si="65"/>
        <v>7.624262847514743E-3</v>
      </c>
      <c r="Y164">
        <f t="shared" si="65"/>
        <v>8.1656705109857727E-3</v>
      </c>
      <c r="Z164">
        <f t="shared" si="65"/>
        <v>8.1174293405114409E-3</v>
      </c>
      <c r="AA164">
        <f t="shared" si="65"/>
        <v>9.0366509751176865E-3</v>
      </c>
      <c r="AB164">
        <f t="shared" si="65"/>
        <v>8.4489281210592682E-3</v>
      </c>
      <c r="AC164">
        <f t="shared" si="65"/>
        <v>9.0347522796991216E-3</v>
      </c>
      <c r="AD164">
        <f t="shared" si="65"/>
        <v>9.8232651861802616E-3</v>
      </c>
    </row>
    <row r="165" spans="3:30" x14ac:dyDescent="0.25">
      <c r="C165">
        <v>85</v>
      </c>
      <c r="F165">
        <f t="shared" ref="F165:AD165" si="66">F71/SUM(F$6:F$96)</f>
        <v>4.8211781206171107E-3</v>
      </c>
      <c r="G165">
        <f t="shared" si="66"/>
        <v>5.1546391752577319E-3</v>
      </c>
      <c r="H165">
        <f t="shared" si="66"/>
        <v>4.2662487484219237E-3</v>
      </c>
      <c r="I165">
        <f t="shared" si="66"/>
        <v>4.2120804203395722E-3</v>
      </c>
      <c r="J165">
        <f t="shared" si="66"/>
        <v>4.0266712850710084E-3</v>
      </c>
      <c r="K165">
        <f t="shared" si="66"/>
        <v>5.0105826962118264E-3</v>
      </c>
      <c r="L165">
        <f t="shared" si="66"/>
        <v>5.0361570247933881E-3</v>
      </c>
      <c r="M165">
        <f t="shared" si="66"/>
        <v>4.9354104974035449E-3</v>
      </c>
      <c r="N165">
        <f t="shared" si="66"/>
        <v>4.4147271870044148E-3</v>
      </c>
      <c r="O165">
        <f t="shared" si="66"/>
        <v>3.3779450121862575E-3</v>
      </c>
      <c r="P165">
        <f t="shared" si="66"/>
        <v>5.7655349135169766E-3</v>
      </c>
      <c r="Q165">
        <f t="shared" si="66"/>
        <v>5.284916677321741E-3</v>
      </c>
      <c r="R165">
        <f t="shared" si="66"/>
        <v>5.0214902761819653E-3</v>
      </c>
      <c r="S165">
        <f t="shared" si="66"/>
        <v>5.4809653297076821E-3</v>
      </c>
      <c r="T165">
        <f t="shared" si="66"/>
        <v>5.7230064860740179E-3</v>
      </c>
      <c r="U165">
        <f t="shared" si="66"/>
        <v>6.0985939352871422E-3</v>
      </c>
      <c r="V165">
        <f t="shared" si="66"/>
        <v>7.1485977750518166E-3</v>
      </c>
      <c r="W165">
        <f t="shared" si="66"/>
        <v>6.9212914116902301E-3</v>
      </c>
      <c r="X165">
        <f t="shared" si="66"/>
        <v>7.5400168491996629E-3</v>
      </c>
      <c r="Y165">
        <f t="shared" si="66"/>
        <v>7.2396666386059429E-3</v>
      </c>
      <c r="Z165">
        <f t="shared" si="66"/>
        <v>7.8230148048452214E-3</v>
      </c>
      <c r="AA165">
        <f t="shared" si="66"/>
        <v>7.9018157363819775E-3</v>
      </c>
      <c r="AB165">
        <f t="shared" si="66"/>
        <v>8.9533417402269857E-3</v>
      </c>
      <c r="AC165">
        <f t="shared" si="66"/>
        <v>8.194310207168971E-3</v>
      </c>
      <c r="AD165">
        <f t="shared" si="66"/>
        <v>8.7317912766046758E-3</v>
      </c>
    </row>
    <row r="166" spans="3:30" x14ac:dyDescent="0.25">
      <c r="C166">
        <v>86</v>
      </c>
      <c r="F166">
        <f t="shared" ref="F166:AD166" si="67">F72/SUM(F$6:F$96)</f>
        <v>2.3053997194950913E-2</v>
      </c>
      <c r="G166">
        <f t="shared" si="67"/>
        <v>4.4120216669578894E-3</v>
      </c>
      <c r="H166">
        <f t="shared" si="67"/>
        <v>4.7451134038570368E-3</v>
      </c>
      <c r="I166">
        <f t="shared" si="67"/>
        <v>3.9081158539233142E-3</v>
      </c>
      <c r="J166">
        <f t="shared" si="67"/>
        <v>3.9833737443713199E-3</v>
      </c>
      <c r="K166">
        <f t="shared" si="67"/>
        <v>3.75793702215887E-3</v>
      </c>
      <c r="L166">
        <f t="shared" si="67"/>
        <v>4.6918044077134983E-3</v>
      </c>
      <c r="M166">
        <f t="shared" si="67"/>
        <v>4.7637440453199434E-3</v>
      </c>
      <c r="N166">
        <f t="shared" si="67"/>
        <v>4.7147571900047151E-3</v>
      </c>
      <c r="O166">
        <f t="shared" si="67"/>
        <v>4.1903621670158634E-3</v>
      </c>
      <c r="P166">
        <f t="shared" si="67"/>
        <v>3.1176596199017723E-3</v>
      </c>
      <c r="Q166">
        <f t="shared" si="67"/>
        <v>5.4980181562460043E-3</v>
      </c>
      <c r="R166">
        <f t="shared" si="67"/>
        <v>5.1491552832035404E-3</v>
      </c>
      <c r="S166">
        <f t="shared" si="67"/>
        <v>4.8011556764106051E-3</v>
      </c>
      <c r="T166">
        <f t="shared" si="67"/>
        <v>5.256687439060579E-3</v>
      </c>
      <c r="U166">
        <f t="shared" si="67"/>
        <v>5.336269693376249E-3</v>
      </c>
      <c r="V166">
        <f t="shared" si="67"/>
        <v>5.7104183410177237E-3</v>
      </c>
      <c r="W166">
        <f t="shared" si="67"/>
        <v>6.7946824224519942E-3</v>
      </c>
      <c r="X166">
        <f t="shared" si="67"/>
        <v>6.6975568660488623E-3</v>
      </c>
      <c r="Y166">
        <f t="shared" si="67"/>
        <v>7.2817577237141171E-3</v>
      </c>
      <c r="Z166">
        <f t="shared" si="67"/>
        <v>6.855652759084791E-3</v>
      </c>
      <c r="AA166">
        <f t="shared" si="67"/>
        <v>7.4394754539340953E-3</v>
      </c>
      <c r="AB166">
        <f t="shared" si="67"/>
        <v>7.48213535098781E-3</v>
      </c>
      <c r="AC166">
        <f t="shared" si="67"/>
        <v>8.656553347060553E-3</v>
      </c>
      <c r="AD166">
        <f t="shared" si="67"/>
        <v>7.850216195793628E-3</v>
      </c>
    </row>
    <row r="167" spans="3:30" x14ac:dyDescent="0.25">
      <c r="C167">
        <v>87</v>
      </c>
      <c r="F167">
        <f t="shared" ref="F167:AD167" si="68">F73/SUM(F$6:F$96)</f>
        <v>0</v>
      </c>
      <c r="G167">
        <f t="shared" si="68"/>
        <v>2.1579591123536607E-2</v>
      </c>
      <c r="H167">
        <f t="shared" si="68"/>
        <v>4.1356492969396195E-3</v>
      </c>
      <c r="I167">
        <f t="shared" si="68"/>
        <v>4.4291979677797558E-3</v>
      </c>
      <c r="J167">
        <f t="shared" si="68"/>
        <v>3.5936958780741252E-3</v>
      </c>
      <c r="K167">
        <f t="shared" si="68"/>
        <v>3.75793702215887E-3</v>
      </c>
      <c r="L167">
        <f t="shared" si="68"/>
        <v>3.7017906336088155E-3</v>
      </c>
      <c r="M167">
        <f t="shared" si="68"/>
        <v>4.6779108192781423E-3</v>
      </c>
      <c r="N167">
        <f t="shared" si="68"/>
        <v>4.5004500450045006E-3</v>
      </c>
      <c r="O167">
        <f t="shared" si="68"/>
        <v>4.4896737503741391E-3</v>
      </c>
      <c r="P167">
        <f t="shared" si="68"/>
        <v>4.1426436045270123E-3</v>
      </c>
      <c r="Q167">
        <f t="shared" si="68"/>
        <v>3.0260410007245451E-3</v>
      </c>
      <c r="R167">
        <f t="shared" si="68"/>
        <v>5.2342652878845913E-3</v>
      </c>
      <c r="S167">
        <f t="shared" si="68"/>
        <v>4.9286199864038071E-3</v>
      </c>
      <c r="T167">
        <f t="shared" si="68"/>
        <v>4.747975751409555E-3</v>
      </c>
      <c r="U167">
        <f t="shared" si="68"/>
        <v>4.7857021853294933E-3</v>
      </c>
      <c r="V167">
        <f t="shared" si="68"/>
        <v>5.2028255995939261E-3</v>
      </c>
      <c r="W167">
        <f t="shared" si="68"/>
        <v>5.4019835408313987E-3</v>
      </c>
      <c r="X167">
        <f t="shared" si="68"/>
        <v>6.5711878685762422E-3</v>
      </c>
      <c r="Y167">
        <f t="shared" si="68"/>
        <v>6.271571681117939E-3</v>
      </c>
      <c r="Z167">
        <f t="shared" si="68"/>
        <v>6.9818304172274562E-3</v>
      </c>
      <c r="AA167">
        <f t="shared" si="68"/>
        <v>6.6408876933423001E-3</v>
      </c>
      <c r="AB167">
        <f t="shared" si="68"/>
        <v>7.0617906683480454E-3</v>
      </c>
      <c r="AC167">
        <f t="shared" si="68"/>
        <v>7.1437576165062824E-3</v>
      </c>
      <c r="AD167">
        <f t="shared" si="68"/>
        <v>8.3119936190756052E-3</v>
      </c>
    </row>
    <row r="168" spans="3:30" x14ac:dyDescent="0.25">
      <c r="C168">
        <v>88</v>
      </c>
      <c r="F168">
        <f t="shared" ref="F168:AD168" si="69">F74/SUM(F$6:F$96)</f>
        <v>0</v>
      </c>
      <c r="G168">
        <f t="shared" si="69"/>
        <v>0</v>
      </c>
      <c r="H168">
        <f t="shared" si="69"/>
        <v>2.0286448130251187E-2</v>
      </c>
      <c r="I168">
        <f t="shared" si="69"/>
        <v>3.9515393634113509E-3</v>
      </c>
      <c r="J168">
        <f t="shared" si="69"/>
        <v>4.1998614478697613E-3</v>
      </c>
      <c r="K168">
        <f t="shared" si="69"/>
        <v>3.4987689516651549E-3</v>
      </c>
      <c r="L168">
        <f t="shared" si="69"/>
        <v>3.5296143250688706E-3</v>
      </c>
      <c r="M168">
        <f t="shared" si="69"/>
        <v>3.6049954937556329E-3</v>
      </c>
      <c r="N168">
        <f t="shared" si="69"/>
        <v>4.4147271870044148E-3</v>
      </c>
      <c r="O168">
        <f t="shared" si="69"/>
        <v>4.361397357506307E-3</v>
      </c>
      <c r="P168">
        <f t="shared" si="69"/>
        <v>4.4415972667093745E-3</v>
      </c>
      <c r="Q168">
        <f t="shared" si="69"/>
        <v>4.0489280995610107E-3</v>
      </c>
      <c r="R168">
        <f t="shared" si="69"/>
        <v>2.8937401591557087E-3</v>
      </c>
      <c r="S168">
        <f t="shared" si="69"/>
        <v>5.1410605030591432E-3</v>
      </c>
      <c r="T168">
        <f t="shared" si="69"/>
        <v>4.8327610326847261E-3</v>
      </c>
      <c r="U168">
        <f t="shared" si="69"/>
        <v>4.4892427579197019E-3</v>
      </c>
      <c r="V168">
        <f t="shared" si="69"/>
        <v>4.652933463051478E-3</v>
      </c>
      <c r="W168">
        <f t="shared" si="69"/>
        <v>5.0221565731166911E-3</v>
      </c>
      <c r="X168">
        <f t="shared" si="69"/>
        <v>5.096882898062342E-3</v>
      </c>
      <c r="Y168">
        <f t="shared" si="69"/>
        <v>6.019025170468895E-3</v>
      </c>
      <c r="Z168">
        <f t="shared" si="69"/>
        <v>6.1406460296096902E-3</v>
      </c>
      <c r="AA168">
        <f t="shared" si="69"/>
        <v>6.682918628110289E-3</v>
      </c>
      <c r="AB168">
        <f t="shared" si="69"/>
        <v>6.4312736443883989E-3</v>
      </c>
      <c r="AC168">
        <f t="shared" si="69"/>
        <v>6.9336470983737443E-3</v>
      </c>
      <c r="AD168">
        <f t="shared" si="69"/>
        <v>6.9686411149825784E-3</v>
      </c>
    </row>
    <row r="169" spans="3:30" x14ac:dyDescent="0.25">
      <c r="C169">
        <v>89</v>
      </c>
      <c r="F169">
        <f t="shared" ref="F169:AD169" si="70">F75/SUM(F$6:F$96)</f>
        <v>0</v>
      </c>
      <c r="G169">
        <f t="shared" si="70"/>
        <v>0</v>
      </c>
      <c r="H169">
        <f t="shared" si="70"/>
        <v>0</v>
      </c>
      <c r="I169">
        <f t="shared" si="70"/>
        <v>1.9149767684224238E-2</v>
      </c>
      <c r="J169">
        <f t="shared" si="70"/>
        <v>3.8101835815725666E-3</v>
      </c>
      <c r="K169">
        <f t="shared" si="70"/>
        <v>4.1034944494838235E-3</v>
      </c>
      <c r="L169">
        <f t="shared" si="70"/>
        <v>3.3143939393939395E-3</v>
      </c>
      <c r="M169">
        <f t="shared" si="70"/>
        <v>3.3474958156302303E-3</v>
      </c>
      <c r="N169">
        <f t="shared" si="70"/>
        <v>3.2574686040032575E-3</v>
      </c>
      <c r="O169">
        <f t="shared" si="70"/>
        <v>4.1476033693932527E-3</v>
      </c>
      <c r="P169">
        <f t="shared" si="70"/>
        <v>4.2280589365791162E-3</v>
      </c>
      <c r="Q169">
        <f t="shared" si="70"/>
        <v>4.1341686911307166E-3</v>
      </c>
      <c r="R169">
        <f t="shared" si="70"/>
        <v>3.8299502106472617E-3</v>
      </c>
      <c r="S169">
        <f t="shared" si="70"/>
        <v>2.8467029231815091E-3</v>
      </c>
      <c r="T169">
        <f t="shared" si="70"/>
        <v>4.8751536733223112E-3</v>
      </c>
      <c r="U169">
        <f t="shared" si="70"/>
        <v>4.7433508385566663E-3</v>
      </c>
      <c r="V169">
        <f t="shared" si="70"/>
        <v>4.2299395118649804E-3</v>
      </c>
      <c r="W169">
        <f t="shared" si="70"/>
        <v>4.5579236125764932E-3</v>
      </c>
      <c r="X169">
        <f t="shared" si="70"/>
        <v>4.8441449031171018E-3</v>
      </c>
      <c r="Y169">
        <f t="shared" si="70"/>
        <v>4.8404747874400203E-3</v>
      </c>
      <c r="Z169">
        <f t="shared" si="70"/>
        <v>5.8882907133243605E-3</v>
      </c>
      <c r="AA169">
        <f t="shared" si="70"/>
        <v>5.6741761936785476E-3</v>
      </c>
      <c r="AB169">
        <f t="shared" si="70"/>
        <v>6.4312736443883989E-3</v>
      </c>
      <c r="AC169">
        <f t="shared" si="70"/>
        <v>6.3873597512291462E-3</v>
      </c>
      <c r="AD169">
        <f t="shared" si="70"/>
        <v>6.8007220519709496E-3</v>
      </c>
    </row>
    <row r="170" spans="3:30" x14ac:dyDescent="0.25">
      <c r="C170">
        <v>90</v>
      </c>
      <c r="F170">
        <f t="shared" ref="F170:AD170" si="71">F76/SUM(F$6:F$96)</f>
        <v>0</v>
      </c>
      <c r="G170">
        <f t="shared" si="71"/>
        <v>0</v>
      </c>
      <c r="H170">
        <f t="shared" si="71"/>
        <v>0</v>
      </c>
      <c r="I170">
        <f t="shared" si="71"/>
        <v>0</v>
      </c>
      <c r="J170">
        <f t="shared" si="71"/>
        <v>1.8228264634568756E-2</v>
      </c>
      <c r="K170">
        <f t="shared" si="71"/>
        <v>3.541963630080774E-3</v>
      </c>
      <c r="L170">
        <f t="shared" si="71"/>
        <v>3.8739669421487604E-3</v>
      </c>
      <c r="M170">
        <f t="shared" si="71"/>
        <v>3.2187459765675294E-3</v>
      </c>
      <c r="N170">
        <f t="shared" si="71"/>
        <v>3.1717457460031717E-3</v>
      </c>
      <c r="O170">
        <f t="shared" si="71"/>
        <v>3.2069098216958138E-3</v>
      </c>
      <c r="P170">
        <f t="shared" si="71"/>
        <v>4.0145206064488579E-3</v>
      </c>
      <c r="Q170">
        <f t="shared" si="71"/>
        <v>4.0489280995610107E-3</v>
      </c>
      <c r="R170">
        <f t="shared" si="71"/>
        <v>3.9576152176688372E-3</v>
      </c>
      <c r="S170">
        <f t="shared" si="71"/>
        <v>3.6964649898028551E-3</v>
      </c>
      <c r="T170">
        <f t="shared" si="71"/>
        <v>2.7979142820806309E-3</v>
      </c>
      <c r="U170">
        <f t="shared" si="71"/>
        <v>4.6586481450110115E-3</v>
      </c>
      <c r="V170">
        <f t="shared" si="71"/>
        <v>4.4837358825768787E-3</v>
      </c>
      <c r="W170">
        <f t="shared" si="71"/>
        <v>3.9670816627980585E-3</v>
      </c>
      <c r="X170">
        <f t="shared" si="71"/>
        <v>4.3807919123841615E-3</v>
      </c>
      <c r="Y170">
        <f t="shared" si="71"/>
        <v>4.6300193618991495E-3</v>
      </c>
      <c r="Z170">
        <f t="shared" si="71"/>
        <v>4.6265141318977123E-3</v>
      </c>
      <c r="AA170">
        <f t="shared" si="71"/>
        <v>5.54808338937458E-3</v>
      </c>
      <c r="AB170">
        <f t="shared" si="71"/>
        <v>5.5065153425809168E-3</v>
      </c>
      <c r="AC170">
        <f t="shared" si="71"/>
        <v>6.2612934403496242E-3</v>
      </c>
      <c r="AD170">
        <f t="shared" si="71"/>
        <v>5.8351874396540869E-3</v>
      </c>
    </row>
    <row r="171" spans="3:30" x14ac:dyDescent="0.25">
      <c r="C171">
        <v>91</v>
      </c>
      <c r="F171">
        <f t="shared" ref="F171:AD171" si="72">F77/SUM(F$6:F$96)</f>
        <v>0</v>
      </c>
      <c r="G171">
        <f t="shared" si="72"/>
        <v>0</v>
      </c>
      <c r="H171">
        <f t="shared" si="72"/>
        <v>0</v>
      </c>
      <c r="I171">
        <f t="shared" si="72"/>
        <v>0</v>
      </c>
      <c r="J171">
        <f t="shared" si="72"/>
        <v>0</v>
      </c>
      <c r="K171">
        <f t="shared" si="72"/>
        <v>1.7191482009416441E-2</v>
      </c>
      <c r="L171">
        <f t="shared" si="72"/>
        <v>3.228305785123967E-3</v>
      </c>
      <c r="M171">
        <f t="shared" si="72"/>
        <v>3.7766619458392344E-3</v>
      </c>
      <c r="N171">
        <f t="shared" si="72"/>
        <v>3.0860228880030859E-3</v>
      </c>
      <c r="O171">
        <f t="shared" si="72"/>
        <v>2.9931158335827599E-3</v>
      </c>
      <c r="P171">
        <f t="shared" si="72"/>
        <v>3.1603672859278242E-3</v>
      </c>
      <c r="Q171">
        <f t="shared" si="72"/>
        <v>3.8358266206367474E-3</v>
      </c>
      <c r="R171">
        <f t="shared" si="72"/>
        <v>3.8299502106472617E-3</v>
      </c>
      <c r="S171">
        <f t="shared" si="72"/>
        <v>3.8239292997960571E-3</v>
      </c>
      <c r="T171">
        <f t="shared" si="72"/>
        <v>3.6457670948323371E-3</v>
      </c>
      <c r="U171">
        <f t="shared" si="72"/>
        <v>2.7104861934609519E-3</v>
      </c>
      <c r="V171">
        <f t="shared" si="72"/>
        <v>4.35683769722093E-3</v>
      </c>
      <c r="W171">
        <f t="shared" si="72"/>
        <v>4.2625026376872759E-3</v>
      </c>
      <c r="X171">
        <f t="shared" si="72"/>
        <v>3.8753159224936815E-3</v>
      </c>
      <c r="Y171">
        <f t="shared" si="72"/>
        <v>4.2932906810337571E-3</v>
      </c>
      <c r="Z171">
        <f t="shared" si="72"/>
        <v>4.4162180349932708E-3</v>
      </c>
      <c r="AA171">
        <f t="shared" si="72"/>
        <v>4.3712172158708812E-3</v>
      </c>
      <c r="AB171">
        <f t="shared" si="72"/>
        <v>5.296343001261034E-3</v>
      </c>
      <c r="AC171">
        <f t="shared" si="72"/>
        <v>5.2527629533134432E-3</v>
      </c>
      <c r="AD171">
        <f t="shared" si="72"/>
        <v>6.1290457999244362E-3</v>
      </c>
    </row>
    <row r="172" spans="3:30" x14ac:dyDescent="0.25">
      <c r="C172">
        <v>92</v>
      </c>
      <c r="F172">
        <f t="shared" ref="F172:AD172" si="73">F78/SUM(F$6:F$96)</f>
        <v>0</v>
      </c>
      <c r="G172">
        <f t="shared" si="73"/>
        <v>0</v>
      </c>
      <c r="H172">
        <f t="shared" si="73"/>
        <v>0</v>
      </c>
      <c r="I172">
        <f t="shared" si="73"/>
        <v>0</v>
      </c>
      <c r="J172">
        <f t="shared" si="73"/>
        <v>0</v>
      </c>
      <c r="K172">
        <f t="shared" si="73"/>
        <v>0</v>
      </c>
      <c r="L172">
        <f t="shared" si="73"/>
        <v>1.6399793388429753E-2</v>
      </c>
      <c r="M172">
        <f t="shared" si="73"/>
        <v>3.1329127505257287E-3</v>
      </c>
      <c r="N172">
        <f t="shared" si="73"/>
        <v>3.6432214650036431E-3</v>
      </c>
      <c r="O172">
        <f t="shared" si="73"/>
        <v>2.9503570359601487E-3</v>
      </c>
      <c r="P172">
        <f t="shared" si="73"/>
        <v>2.8187059577194106E-3</v>
      </c>
      <c r="Q172">
        <f t="shared" si="73"/>
        <v>2.9834207049396922E-3</v>
      </c>
      <c r="R172">
        <f t="shared" si="73"/>
        <v>3.7022852036256862E-3</v>
      </c>
      <c r="S172">
        <f t="shared" si="73"/>
        <v>3.5265125764785861E-3</v>
      </c>
      <c r="T172">
        <f t="shared" si="73"/>
        <v>3.7729450167450929E-3</v>
      </c>
      <c r="U172">
        <f t="shared" si="73"/>
        <v>3.5151617821446721E-3</v>
      </c>
      <c r="V172">
        <f t="shared" si="73"/>
        <v>2.6648618924749374E-3</v>
      </c>
      <c r="W172">
        <f t="shared" si="73"/>
        <v>4.0936906520362944E-3</v>
      </c>
      <c r="X172">
        <f t="shared" si="73"/>
        <v>4.0859309182813813E-3</v>
      </c>
      <c r="Y172">
        <f t="shared" si="73"/>
        <v>3.7461065746274939E-3</v>
      </c>
      <c r="Z172">
        <f t="shared" si="73"/>
        <v>4.1218034993270522E-3</v>
      </c>
      <c r="AA172">
        <f t="shared" si="73"/>
        <v>4.2030934767989239E-3</v>
      </c>
      <c r="AB172">
        <f t="shared" si="73"/>
        <v>4.2034468263976461E-3</v>
      </c>
      <c r="AC172">
        <f t="shared" si="73"/>
        <v>5.1687187460604279E-3</v>
      </c>
      <c r="AD172">
        <f t="shared" si="73"/>
        <v>5.0375718903488522E-3</v>
      </c>
    </row>
    <row r="173" spans="3:30" x14ac:dyDescent="0.25">
      <c r="C173">
        <v>93</v>
      </c>
      <c r="F173">
        <f t="shared" ref="F173:AD173" si="74">F79/SUM(F$6:F$96)</f>
        <v>0</v>
      </c>
      <c r="G173">
        <f t="shared" si="74"/>
        <v>0</v>
      </c>
      <c r="H173">
        <f t="shared" si="74"/>
        <v>0</v>
      </c>
      <c r="I173">
        <f t="shared" si="74"/>
        <v>0</v>
      </c>
      <c r="J173">
        <f t="shared" si="74"/>
        <v>0</v>
      </c>
      <c r="K173">
        <f t="shared" si="74"/>
        <v>0</v>
      </c>
      <c r="L173">
        <f t="shared" si="74"/>
        <v>0</v>
      </c>
      <c r="M173">
        <f t="shared" si="74"/>
        <v>1.6050813269816746E-2</v>
      </c>
      <c r="N173">
        <f t="shared" si="74"/>
        <v>3.0003000300030001E-3</v>
      </c>
      <c r="O173">
        <f t="shared" si="74"/>
        <v>3.4634626074314789E-3</v>
      </c>
      <c r="P173">
        <f t="shared" si="74"/>
        <v>2.6478752936152038E-3</v>
      </c>
      <c r="Q173">
        <f t="shared" si="74"/>
        <v>2.685078634445723E-3</v>
      </c>
      <c r="R173">
        <f t="shared" si="74"/>
        <v>2.8086301544746587E-3</v>
      </c>
      <c r="S173">
        <f t="shared" si="74"/>
        <v>3.6964649898028551E-3</v>
      </c>
      <c r="T173">
        <f t="shared" si="74"/>
        <v>3.3914112510068251E-3</v>
      </c>
      <c r="U173">
        <f t="shared" si="74"/>
        <v>3.5998644756903269E-3</v>
      </c>
      <c r="V173">
        <f t="shared" si="74"/>
        <v>3.3839516094919843E-3</v>
      </c>
      <c r="W173">
        <f t="shared" si="74"/>
        <v>2.5321797847647183E-3</v>
      </c>
      <c r="X173">
        <f t="shared" si="74"/>
        <v>3.7489469250210614E-3</v>
      </c>
      <c r="Y173">
        <f t="shared" si="74"/>
        <v>3.9144709150601906E-3</v>
      </c>
      <c r="Z173">
        <f t="shared" si="74"/>
        <v>3.5329744279946162E-3</v>
      </c>
      <c r="AA173">
        <f t="shared" si="74"/>
        <v>3.9929388029589776E-3</v>
      </c>
      <c r="AB173">
        <f t="shared" si="74"/>
        <v>4.0773434216057171E-3</v>
      </c>
      <c r="AC173">
        <f t="shared" si="74"/>
        <v>4.0761440517712317E-3</v>
      </c>
      <c r="AD173">
        <f t="shared" si="74"/>
        <v>5.0375718903488522E-3</v>
      </c>
    </row>
    <row r="174" spans="3:30" x14ac:dyDescent="0.25">
      <c r="C174">
        <v>94</v>
      </c>
      <c r="F174">
        <f t="shared" ref="F174:AD174" si="75">F80/SUM(F$6:F$96)</f>
        <v>0</v>
      </c>
      <c r="G174">
        <f t="shared" si="75"/>
        <v>0</v>
      </c>
      <c r="H174">
        <f t="shared" si="75"/>
        <v>0</v>
      </c>
      <c r="I174">
        <f t="shared" si="75"/>
        <v>0</v>
      </c>
      <c r="J174">
        <f t="shared" si="75"/>
        <v>0</v>
      </c>
      <c r="K174">
        <f t="shared" si="75"/>
        <v>0</v>
      </c>
      <c r="L174">
        <f t="shared" si="75"/>
        <v>0</v>
      </c>
      <c r="M174">
        <f t="shared" si="75"/>
        <v>0</v>
      </c>
      <c r="N174">
        <f t="shared" si="75"/>
        <v>1.5215807295015215E-2</v>
      </c>
      <c r="O174">
        <f t="shared" si="75"/>
        <v>2.9931158335827599E-3</v>
      </c>
      <c r="P174">
        <f t="shared" si="75"/>
        <v>3.3739056160580825E-3</v>
      </c>
      <c r="Q174">
        <f t="shared" si="75"/>
        <v>2.3867365639517538E-3</v>
      </c>
      <c r="R174">
        <f t="shared" si="75"/>
        <v>2.5958551427720327E-3</v>
      </c>
      <c r="S174">
        <f t="shared" si="75"/>
        <v>2.8042148198504421E-3</v>
      </c>
      <c r="T174">
        <f t="shared" si="75"/>
        <v>3.6457670948323371E-3</v>
      </c>
      <c r="U174">
        <f t="shared" si="75"/>
        <v>3.2187023547348807E-3</v>
      </c>
      <c r="V174">
        <f t="shared" si="75"/>
        <v>3.5531491899665835E-3</v>
      </c>
      <c r="W174">
        <f t="shared" si="75"/>
        <v>3.1652247309558977E-3</v>
      </c>
      <c r="X174">
        <f t="shared" si="75"/>
        <v>2.4431339511373209E-3</v>
      </c>
      <c r="Y174">
        <f t="shared" si="75"/>
        <v>3.6198333193029715E-3</v>
      </c>
      <c r="Z174">
        <f t="shared" si="75"/>
        <v>3.7432705248990577E-3</v>
      </c>
      <c r="AA174">
        <f t="shared" si="75"/>
        <v>3.3624747814391394E-3</v>
      </c>
      <c r="AB174">
        <f t="shared" si="75"/>
        <v>3.8671710802858344E-3</v>
      </c>
      <c r="AC174">
        <f t="shared" si="75"/>
        <v>3.9080556372652012E-3</v>
      </c>
      <c r="AD174">
        <f t="shared" si="75"/>
        <v>3.9880777465261747E-3</v>
      </c>
    </row>
    <row r="175" spans="3:30" x14ac:dyDescent="0.25">
      <c r="C175">
        <v>95</v>
      </c>
      <c r="F175">
        <f t="shared" ref="F175:AD175" si="76">F81/SUM(F$6:F$96)</f>
        <v>0</v>
      </c>
      <c r="G175">
        <f t="shared" si="76"/>
        <v>0</v>
      </c>
      <c r="H175">
        <f t="shared" si="76"/>
        <v>0</v>
      </c>
      <c r="I175">
        <f t="shared" si="76"/>
        <v>0</v>
      </c>
      <c r="J175">
        <f t="shared" si="76"/>
        <v>0</v>
      </c>
      <c r="K175">
        <f t="shared" si="76"/>
        <v>0</v>
      </c>
      <c r="L175">
        <f t="shared" si="76"/>
        <v>0</v>
      </c>
      <c r="M175">
        <f t="shared" si="76"/>
        <v>0</v>
      </c>
      <c r="N175">
        <f t="shared" si="76"/>
        <v>0</v>
      </c>
      <c r="O175">
        <f t="shared" si="76"/>
        <v>1.4580749989310301E-2</v>
      </c>
      <c r="P175">
        <f t="shared" si="76"/>
        <v>2.9468289557975655E-3</v>
      </c>
      <c r="Q175">
        <f t="shared" si="76"/>
        <v>3.1539018880791031E-3</v>
      </c>
      <c r="R175">
        <f t="shared" si="76"/>
        <v>2.2979701263883571E-3</v>
      </c>
      <c r="S175">
        <f t="shared" si="76"/>
        <v>2.4218218898708361E-3</v>
      </c>
      <c r="T175">
        <f t="shared" si="76"/>
        <v>2.6283437195302895E-3</v>
      </c>
      <c r="U175">
        <f t="shared" si="76"/>
        <v>3.5575131289174995E-3</v>
      </c>
      <c r="V175">
        <f t="shared" si="76"/>
        <v>3.1724546338987351E-3</v>
      </c>
      <c r="W175">
        <f t="shared" si="76"/>
        <v>3.4184427094323699E-3</v>
      </c>
      <c r="X175">
        <f t="shared" si="76"/>
        <v>3.0749789385004214E-3</v>
      </c>
      <c r="Y175">
        <f t="shared" si="76"/>
        <v>2.3150096809495748E-3</v>
      </c>
      <c r="Z175">
        <f t="shared" si="76"/>
        <v>3.5750336473755048E-3</v>
      </c>
      <c r="AA175">
        <f t="shared" si="76"/>
        <v>3.7407531943510425E-3</v>
      </c>
      <c r="AB175">
        <f t="shared" si="76"/>
        <v>3.3207229928541404E-3</v>
      </c>
      <c r="AC175">
        <f t="shared" si="76"/>
        <v>3.8660335336386941E-3</v>
      </c>
      <c r="AD175">
        <f t="shared" si="76"/>
        <v>3.8621384492674533E-3</v>
      </c>
    </row>
    <row r="176" spans="3:30" x14ac:dyDescent="0.25">
      <c r="C176">
        <v>96</v>
      </c>
      <c r="F176">
        <f t="shared" ref="F176:AD176" si="77">F82/SUM(F$6:F$96)</f>
        <v>0</v>
      </c>
      <c r="G176">
        <f t="shared" si="77"/>
        <v>0</v>
      </c>
      <c r="H176">
        <f t="shared" si="77"/>
        <v>0</v>
      </c>
      <c r="I176">
        <f t="shared" si="77"/>
        <v>0</v>
      </c>
      <c r="J176">
        <f t="shared" si="77"/>
        <v>0</v>
      </c>
      <c r="K176">
        <f t="shared" si="77"/>
        <v>0</v>
      </c>
      <c r="L176">
        <f t="shared" si="77"/>
        <v>0</v>
      </c>
      <c r="M176">
        <f t="shared" si="77"/>
        <v>0</v>
      </c>
      <c r="N176">
        <f t="shared" si="77"/>
        <v>0</v>
      </c>
      <c r="O176">
        <f t="shared" si="77"/>
        <v>0</v>
      </c>
      <c r="P176">
        <f t="shared" si="77"/>
        <v>1.4050822122571001E-2</v>
      </c>
      <c r="Q176">
        <f t="shared" si="77"/>
        <v>2.8981801133699868E-3</v>
      </c>
      <c r="R176">
        <f t="shared" si="77"/>
        <v>3.0639601685178092E-3</v>
      </c>
      <c r="S176">
        <f t="shared" si="77"/>
        <v>2.2518694765465671E-3</v>
      </c>
      <c r="T176">
        <f t="shared" si="77"/>
        <v>2.3315952350671924E-3</v>
      </c>
      <c r="U176">
        <f t="shared" si="77"/>
        <v>2.4987294595968153E-3</v>
      </c>
      <c r="V176">
        <f t="shared" si="77"/>
        <v>3.2993528192546847E-3</v>
      </c>
      <c r="W176">
        <f t="shared" si="77"/>
        <v>3.0386157417176618E-3</v>
      </c>
      <c r="X176">
        <f t="shared" si="77"/>
        <v>3.2855939342881211E-3</v>
      </c>
      <c r="Y176">
        <f t="shared" si="77"/>
        <v>2.9042848724640121E-3</v>
      </c>
      <c r="Z176">
        <f t="shared" si="77"/>
        <v>2.1450201884253028E-3</v>
      </c>
      <c r="AA176">
        <f t="shared" si="77"/>
        <v>3.5726294552790856E-3</v>
      </c>
      <c r="AB176">
        <f t="shared" si="77"/>
        <v>3.6990332072299285E-3</v>
      </c>
      <c r="AC176">
        <f t="shared" si="77"/>
        <v>3.2777240828675883E-3</v>
      </c>
      <c r="AD176">
        <f t="shared" si="77"/>
        <v>3.8621384492674533E-3</v>
      </c>
    </row>
    <row r="177" spans="3:30" x14ac:dyDescent="0.25">
      <c r="C177">
        <v>97</v>
      </c>
      <c r="F177">
        <f t="shared" ref="F177:AD177" si="78">F83/SUM(F$6:F$96)</f>
        <v>0</v>
      </c>
      <c r="G177">
        <f t="shared" si="78"/>
        <v>0</v>
      </c>
      <c r="H177">
        <f t="shared" si="78"/>
        <v>0</v>
      </c>
      <c r="I177">
        <f t="shared" si="78"/>
        <v>0</v>
      </c>
      <c r="J177">
        <f t="shared" si="78"/>
        <v>0</v>
      </c>
      <c r="K177">
        <f t="shared" si="78"/>
        <v>0</v>
      </c>
      <c r="L177">
        <f t="shared" si="78"/>
        <v>0</v>
      </c>
      <c r="M177">
        <f t="shared" si="78"/>
        <v>0</v>
      </c>
      <c r="N177">
        <f t="shared" si="78"/>
        <v>0</v>
      </c>
      <c r="O177">
        <f t="shared" si="78"/>
        <v>0</v>
      </c>
      <c r="P177">
        <f t="shared" si="78"/>
        <v>0</v>
      </c>
      <c r="Q177">
        <f t="shared" si="78"/>
        <v>1.3340152580658909E-2</v>
      </c>
      <c r="R177">
        <f t="shared" si="78"/>
        <v>2.8086301544746587E-3</v>
      </c>
      <c r="S177">
        <f t="shared" si="78"/>
        <v>3.0166553365057786E-3</v>
      </c>
      <c r="T177">
        <f t="shared" si="78"/>
        <v>2.2044173131544366E-3</v>
      </c>
      <c r="U177">
        <f t="shared" si="78"/>
        <v>2.2869727257326783E-3</v>
      </c>
      <c r="V177">
        <f t="shared" si="78"/>
        <v>2.4110655217630386E-3</v>
      </c>
      <c r="W177">
        <f t="shared" si="78"/>
        <v>3.1230217345431526E-3</v>
      </c>
      <c r="X177">
        <f t="shared" si="78"/>
        <v>2.9486099410278013E-3</v>
      </c>
      <c r="Y177">
        <f t="shared" si="78"/>
        <v>3.2410135533294049E-3</v>
      </c>
      <c r="Z177">
        <f t="shared" si="78"/>
        <v>2.8179676985195154E-3</v>
      </c>
      <c r="AA177">
        <f t="shared" si="78"/>
        <v>2.1435776731674513E-3</v>
      </c>
      <c r="AB177">
        <f t="shared" si="78"/>
        <v>3.4468263976460698E-3</v>
      </c>
      <c r="AC177">
        <f t="shared" si="78"/>
        <v>3.487834601000126E-3</v>
      </c>
      <c r="AD177">
        <f t="shared" si="78"/>
        <v>3.1065026657151255E-3</v>
      </c>
    </row>
    <row r="178" spans="3:30" x14ac:dyDescent="0.25">
      <c r="C178">
        <v>98</v>
      </c>
      <c r="F178">
        <f t="shared" ref="F178:AD178" si="79">F84/SUM(F$6:F$96)</f>
        <v>0</v>
      </c>
      <c r="G178">
        <f t="shared" si="79"/>
        <v>0</v>
      </c>
      <c r="H178">
        <f t="shared" si="79"/>
        <v>0</v>
      </c>
      <c r="I178">
        <f t="shared" si="79"/>
        <v>0</v>
      </c>
      <c r="J178">
        <f t="shared" si="79"/>
        <v>0</v>
      </c>
      <c r="K178">
        <f t="shared" si="79"/>
        <v>0</v>
      </c>
      <c r="L178">
        <f t="shared" si="79"/>
        <v>0</v>
      </c>
      <c r="M178">
        <f t="shared" si="79"/>
        <v>0</v>
      </c>
      <c r="N178">
        <f t="shared" si="79"/>
        <v>0</v>
      </c>
      <c r="O178">
        <f t="shared" si="79"/>
        <v>0</v>
      </c>
      <c r="P178">
        <f t="shared" si="79"/>
        <v>0</v>
      </c>
      <c r="Q178">
        <f t="shared" si="79"/>
        <v>0</v>
      </c>
      <c r="R178">
        <f t="shared" si="79"/>
        <v>1.2809055704498064E-2</v>
      </c>
      <c r="S178">
        <f t="shared" si="79"/>
        <v>2.4643099932019036E-3</v>
      </c>
      <c r="T178">
        <f t="shared" si="79"/>
        <v>2.9250922039933866E-3</v>
      </c>
      <c r="U178">
        <f t="shared" si="79"/>
        <v>2.1175673386413687E-3</v>
      </c>
      <c r="V178">
        <f t="shared" si="79"/>
        <v>2.1995685461697898E-3</v>
      </c>
      <c r="W178">
        <f t="shared" si="79"/>
        <v>2.3633677991137369E-3</v>
      </c>
      <c r="X178">
        <f t="shared" si="79"/>
        <v>3.1171019376579614E-3</v>
      </c>
      <c r="Y178">
        <f t="shared" si="79"/>
        <v>2.8621937873558379E-3</v>
      </c>
      <c r="Z178">
        <f t="shared" si="79"/>
        <v>3.1544414535666218E-3</v>
      </c>
      <c r="AA178">
        <f t="shared" si="79"/>
        <v>2.77404169468729E-3</v>
      </c>
      <c r="AB178">
        <f t="shared" si="79"/>
        <v>2.101723413198823E-3</v>
      </c>
      <c r="AC178">
        <f t="shared" si="79"/>
        <v>3.1096356683615583E-3</v>
      </c>
      <c r="AD178">
        <f t="shared" si="79"/>
        <v>3.4843205574912892E-3</v>
      </c>
    </row>
    <row r="179" spans="3:30" x14ac:dyDescent="0.25">
      <c r="C179">
        <v>99</v>
      </c>
      <c r="F179">
        <f t="shared" ref="F179:AD179" si="80">F85/SUM(F$6:F$96)</f>
        <v>0</v>
      </c>
      <c r="G179">
        <f t="shared" si="80"/>
        <v>0</v>
      </c>
      <c r="H179">
        <f t="shared" si="80"/>
        <v>0</v>
      </c>
      <c r="I179">
        <f t="shared" si="80"/>
        <v>0</v>
      </c>
      <c r="J179">
        <f t="shared" si="80"/>
        <v>0</v>
      </c>
      <c r="K179">
        <f t="shared" si="80"/>
        <v>0</v>
      </c>
      <c r="L179">
        <f t="shared" si="80"/>
        <v>0</v>
      </c>
      <c r="M179">
        <f t="shared" si="80"/>
        <v>0</v>
      </c>
      <c r="N179">
        <f t="shared" si="80"/>
        <v>0</v>
      </c>
      <c r="O179">
        <f t="shared" si="80"/>
        <v>0</v>
      </c>
      <c r="P179">
        <f t="shared" si="80"/>
        <v>0</v>
      </c>
      <c r="Q179">
        <f t="shared" si="80"/>
        <v>0</v>
      </c>
      <c r="R179">
        <f t="shared" si="80"/>
        <v>0</v>
      </c>
      <c r="S179">
        <f t="shared" si="80"/>
        <v>1.2449014276002719E-2</v>
      </c>
      <c r="T179">
        <f t="shared" si="80"/>
        <v>2.4163805163423631E-3</v>
      </c>
      <c r="U179">
        <f t="shared" si="80"/>
        <v>2.6681348466881245E-3</v>
      </c>
      <c r="V179">
        <f t="shared" si="80"/>
        <v>2.0726703608138402E-3</v>
      </c>
      <c r="W179">
        <f t="shared" si="80"/>
        <v>2.1101498206372651E-3</v>
      </c>
      <c r="X179">
        <f t="shared" si="80"/>
        <v>2.2746419545071608E-3</v>
      </c>
      <c r="Y179">
        <f t="shared" si="80"/>
        <v>2.9463759575721863E-3</v>
      </c>
      <c r="Z179">
        <f t="shared" si="80"/>
        <v>2.7759084791386273E-3</v>
      </c>
      <c r="AA179">
        <f t="shared" si="80"/>
        <v>3.0682582380632145E-3</v>
      </c>
      <c r="AB179">
        <f t="shared" si="80"/>
        <v>2.7322404371584699E-3</v>
      </c>
      <c r="AC179">
        <f t="shared" si="80"/>
        <v>2.1011051813253773E-3</v>
      </c>
      <c r="AD179">
        <f t="shared" si="80"/>
        <v>2.9805633684564042E-3</v>
      </c>
    </row>
    <row r="180" spans="3:30" x14ac:dyDescent="0.25">
      <c r="C180">
        <v>100</v>
      </c>
      <c r="F180">
        <f t="shared" ref="F180:AD180" si="81">F86/SUM(F$6:F$96)</f>
        <v>0</v>
      </c>
      <c r="G180">
        <f t="shared" si="81"/>
        <v>0</v>
      </c>
      <c r="H180">
        <f t="shared" si="81"/>
        <v>0</v>
      </c>
      <c r="I180">
        <f t="shared" si="81"/>
        <v>0</v>
      </c>
      <c r="J180">
        <f t="shared" si="81"/>
        <v>0</v>
      </c>
      <c r="K180">
        <f t="shared" si="81"/>
        <v>0</v>
      </c>
      <c r="L180">
        <f t="shared" si="81"/>
        <v>0</v>
      </c>
      <c r="M180">
        <f t="shared" si="81"/>
        <v>0</v>
      </c>
      <c r="N180">
        <f t="shared" si="81"/>
        <v>0</v>
      </c>
      <c r="O180">
        <f t="shared" si="81"/>
        <v>0</v>
      </c>
      <c r="P180">
        <f t="shared" si="81"/>
        <v>0</v>
      </c>
      <c r="Q180">
        <f t="shared" si="81"/>
        <v>0</v>
      </c>
      <c r="R180">
        <f t="shared" si="81"/>
        <v>0</v>
      </c>
      <c r="S180">
        <f t="shared" si="81"/>
        <v>0</v>
      </c>
      <c r="T180">
        <f t="shared" si="81"/>
        <v>1.2166687862986985E-2</v>
      </c>
      <c r="U180">
        <f t="shared" si="81"/>
        <v>2.3716754192783331E-3</v>
      </c>
      <c r="V180">
        <f t="shared" si="81"/>
        <v>2.6648618924749374E-3</v>
      </c>
      <c r="W180">
        <f t="shared" si="81"/>
        <v>1.9835408313990293E-3</v>
      </c>
      <c r="X180">
        <f t="shared" si="81"/>
        <v>2.0219039595619206E-3</v>
      </c>
      <c r="Y180">
        <f t="shared" si="81"/>
        <v>2.1466453405168786E-3</v>
      </c>
      <c r="Z180">
        <f t="shared" si="81"/>
        <v>2.7759084791386273E-3</v>
      </c>
      <c r="AA180">
        <f t="shared" si="81"/>
        <v>2.6059179556153331E-3</v>
      </c>
      <c r="AB180">
        <f t="shared" si="81"/>
        <v>3.0685161832702816E-3</v>
      </c>
      <c r="AC180">
        <f t="shared" si="81"/>
        <v>2.6053704248434678E-3</v>
      </c>
      <c r="AD180">
        <f t="shared" si="81"/>
        <v>2.098988287645355E-3</v>
      </c>
    </row>
    <row r="181" spans="3:30" x14ac:dyDescent="0.25">
      <c r="C181">
        <v>101</v>
      </c>
      <c r="F181">
        <f t="shared" ref="F181:AD181" si="82">F87/SUM(F$6:F$96)</f>
        <v>0</v>
      </c>
      <c r="G181">
        <f t="shared" si="82"/>
        <v>0</v>
      </c>
      <c r="H181">
        <f t="shared" si="82"/>
        <v>0</v>
      </c>
      <c r="I181">
        <f t="shared" si="82"/>
        <v>0</v>
      </c>
      <c r="J181">
        <f t="shared" si="82"/>
        <v>0</v>
      </c>
      <c r="K181">
        <f t="shared" si="82"/>
        <v>0</v>
      </c>
      <c r="L181">
        <f t="shared" si="82"/>
        <v>0</v>
      </c>
      <c r="M181">
        <f t="shared" si="82"/>
        <v>0</v>
      </c>
      <c r="N181">
        <f t="shared" si="82"/>
        <v>0</v>
      </c>
      <c r="O181">
        <f t="shared" si="82"/>
        <v>0</v>
      </c>
      <c r="P181">
        <f t="shared" si="82"/>
        <v>0</v>
      </c>
      <c r="Q181">
        <f t="shared" si="82"/>
        <v>0</v>
      </c>
      <c r="R181">
        <f t="shared" si="82"/>
        <v>0</v>
      </c>
      <c r="S181">
        <f t="shared" si="82"/>
        <v>0</v>
      </c>
      <c r="T181">
        <f t="shared" si="82"/>
        <v>0</v>
      </c>
      <c r="U181">
        <f t="shared" si="82"/>
        <v>1.1604269015754702E-2</v>
      </c>
      <c r="V181">
        <f t="shared" si="82"/>
        <v>2.326466731525739E-3</v>
      </c>
      <c r="W181">
        <f t="shared" si="82"/>
        <v>2.5321797847647183E-3</v>
      </c>
      <c r="X181">
        <f t="shared" si="82"/>
        <v>1.8955349620893007E-3</v>
      </c>
      <c r="Y181">
        <f t="shared" si="82"/>
        <v>1.894098829867834E-3</v>
      </c>
      <c r="Z181">
        <f t="shared" si="82"/>
        <v>2.0609017496635261E-3</v>
      </c>
      <c r="AA181">
        <f t="shared" si="82"/>
        <v>2.7320107599193007E-3</v>
      </c>
      <c r="AB181">
        <f t="shared" si="82"/>
        <v>2.4800336275746112E-3</v>
      </c>
      <c r="AC181">
        <f t="shared" si="82"/>
        <v>2.9835693574820354E-3</v>
      </c>
      <c r="AD181">
        <f t="shared" si="82"/>
        <v>2.5607657109273331E-3</v>
      </c>
    </row>
    <row r="182" spans="3:30" x14ac:dyDescent="0.25">
      <c r="C182">
        <v>102</v>
      </c>
      <c r="F182">
        <f t="shared" ref="F182:AD182" si="83">F88/SUM(F$6:F$96)</f>
        <v>0</v>
      </c>
      <c r="G182">
        <f t="shared" si="83"/>
        <v>0</v>
      </c>
      <c r="H182">
        <f t="shared" si="83"/>
        <v>0</v>
      </c>
      <c r="I182">
        <f t="shared" si="83"/>
        <v>0</v>
      </c>
      <c r="J182">
        <f t="shared" si="83"/>
        <v>0</v>
      </c>
      <c r="K182">
        <f t="shared" si="83"/>
        <v>0</v>
      </c>
      <c r="L182">
        <f t="shared" si="83"/>
        <v>0</v>
      </c>
      <c r="M182">
        <f t="shared" si="83"/>
        <v>0</v>
      </c>
      <c r="N182">
        <f t="shared" si="83"/>
        <v>0</v>
      </c>
      <c r="O182">
        <f t="shared" si="83"/>
        <v>0</v>
      </c>
      <c r="P182">
        <f t="shared" si="83"/>
        <v>0</v>
      </c>
      <c r="Q182">
        <f t="shared" si="83"/>
        <v>0</v>
      </c>
      <c r="R182">
        <f t="shared" si="83"/>
        <v>0</v>
      </c>
      <c r="S182">
        <f t="shared" si="83"/>
        <v>0</v>
      </c>
      <c r="T182">
        <f t="shared" si="83"/>
        <v>0</v>
      </c>
      <c r="U182">
        <f t="shared" si="83"/>
        <v>0</v>
      </c>
      <c r="V182">
        <f t="shared" si="83"/>
        <v>1.1124740916204898E-2</v>
      </c>
      <c r="W182">
        <f t="shared" si="83"/>
        <v>2.3211648027009917E-3</v>
      </c>
      <c r="X182">
        <f t="shared" si="83"/>
        <v>2.485256950294861E-3</v>
      </c>
      <c r="Y182">
        <f t="shared" si="83"/>
        <v>1.8520077447596599E-3</v>
      </c>
      <c r="Z182">
        <f t="shared" si="83"/>
        <v>1.8506056527590848E-3</v>
      </c>
      <c r="AA182">
        <f t="shared" si="83"/>
        <v>1.9754539340954944E-3</v>
      </c>
      <c r="AB182">
        <f t="shared" si="83"/>
        <v>2.6902059688944935E-3</v>
      </c>
      <c r="AC182">
        <f t="shared" si="83"/>
        <v>2.2691935958314073E-3</v>
      </c>
      <c r="AD182">
        <f t="shared" si="83"/>
        <v>2.8546240711976828E-3</v>
      </c>
    </row>
    <row r="183" spans="3:30" x14ac:dyDescent="0.25">
      <c r="C183">
        <v>103</v>
      </c>
      <c r="F183">
        <f t="shared" ref="F183:AD183" si="84">F89/SUM(F$6:F$96)</f>
        <v>0</v>
      </c>
      <c r="G183">
        <f t="shared" si="84"/>
        <v>0</v>
      </c>
      <c r="H183">
        <f t="shared" si="84"/>
        <v>0</v>
      </c>
      <c r="I183">
        <f t="shared" si="84"/>
        <v>0</v>
      </c>
      <c r="J183">
        <f t="shared" si="84"/>
        <v>0</v>
      </c>
      <c r="K183">
        <f t="shared" si="84"/>
        <v>0</v>
      </c>
      <c r="L183">
        <f t="shared" si="84"/>
        <v>0</v>
      </c>
      <c r="M183">
        <f t="shared" si="84"/>
        <v>0</v>
      </c>
      <c r="N183">
        <f t="shared" si="84"/>
        <v>0</v>
      </c>
      <c r="O183">
        <f t="shared" si="84"/>
        <v>0</v>
      </c>
      <c r="P183">
        <f t="shared" si="84"/>
        <v>0</v>
      </c>
      <c r="Q183">
        <f t="shared" si="84"/>
        <v>0</v>
      </c>
      <c r="R183">
        <f t="shared" si="84"/>
        <v>0</v>
      </c>
      <c r="S183">
        <f t="shared" si="84"/>
        <v>0</v>
      </c>
      <c r="T183">
        <f t="shared" si="84"/>
        <v>0</v>
      </c>
      <c r="U183">
        <f t="shared" si="84"/>
        <v>0</v>
      </c>
      <c r="V183">
        <f t="shared" si="84"/>
        <v>0</v>
      </c>
      <c r="W183">
        <f t="shared" si="84"/>
        <v>1.0803967081662797E-2</v>
      </c>
      <c r="X183">
        <f t="shared" si="84"/>
        <v>2.2746419545071608E-3</v>
      </c>
      <c r="Y183">
        <f t="shared" si="84"/>
        <v>2.3571007660577489E-3</v>
      </c>
      <c r="Z183">
        <f t="shared" si="84"/>
        <v>1.7664872139973081E-3</v>
      </c>
      <c r="AA183">
        <f t="shared" si="84"/>
        <v>1.7232683254875588E-3</v>
      </c>
      <c r="AB183">
        <f t="shared" si="84"/>
        <v>1.9756200084068937E-3</v>
      </c>
      <c r="AC183">
        <f t="shared" si="84"/>
        <v>2.6473925284699754E-3</v>
      </c>
      <c r="AD183">
        <f t="shared" si="84"/>
        <v>2.182947819151169E-3</v>
      </c>
    </row>
    <row r="184" spans="3:30" x14ac:dyDescent="0.25">
      <c r="C184">
        <v>104</v>
      </c>
      <c r="F184">
        <f t="shared" ref="F184:AD184" si="85">F90/SUM(F$6:F$96)</f>
        <v>0</v>
      </c>
      <c r="G184">
        <f t="shared" si="85"/>
        <v>0</v>
      </c>
      <c r="H184">
        <f t="shared" si="85"/>
        <v>0</v>
      </c>
      <c r="I184">
        <f t="shared" si="85"/>
        <v>0</v>
      </c>
      <c r="J184">
        <f t="shared" si="85"/>
        <v>0</v>
      </c>
      <c r="K184">
        <f t="shared" si="85"/>
        <v>0</v>
      </c>
      <c r="L184">
        <f t="shared" si="85"/>
        <v>0</v>
      </c>
      <c r="M184">
        <f t="shared" si="85"/>
        <v>0</v>
      </c>
      <c r="N184">
        <f t="shared" si="85"/>
        <v>0</v>
      </c>
      <c r="O184">
        <f t="shared" si="85"/>
        <v>0</v>
      </c>
      <c r="P184">
        <f t="shared" si="85"/>
        <v>0</v>
      </c>
      <c r="Q184">
        <f t="shared" si="85"/>
        <v>0</v>
      </c>
      <c r="R184">
        <f t="shared" si="85"/>
        <v>0</v>
      </c>
      <c r="S184">
        <f t="shared" si="85"/>
        <v>0</v>
      </c>
      <c r="T184">
        <f t="shared" si="85"/>
        <v>0</v>
      </c>
      <c r="U184">
        <f t="shared" si="85"/>
        <v>0</v>
      </c>
      <c r="V184">
        <f t="shared" si="85"/>
        <v>0</v>
      </c>
      <c r="W184">
        <f t="shared" si="85"/>
        <v>0</v>
      </c>
      <c r="X184">
        <f t="shared" si="85"/>
        <v>1.0446503791069924E-2</v>
      </c>
      <c r="Y184">
        <f t="shared" si="85"/>
        <v>2.2308275107332269E-3</v>
      </c>
      <c r="Z184">
        <f t="shared" si="85"/>
        <v>2.3553162853297443E-3</v>
      </c>
      <c r="AA184">
        <f t="shared" si="85"/>
        <v>1.597175521183591E-3</v>
      </c>
      <c r="AB184">
        <f t="shared" si="85"/>
        <v>1.6813787305590584E-3</v>
      </c>
      <c r="AC184">
        <f t="shared" si="85"/>
        <v>1.933016766819347E-3</v>
      </c>
      <c r="AD184">
        <f t="shared" si="85"/>
        <v>2.4768061794215187E-3</v>
      </c>
    </row>
    <row r="185" spans="3:30" x14ac:dyDescent="0.25">
      <c r="C185">
        <v>105</v>
      </c>
      <c r="F185">
        <f t="shared" ref="F185:AD185" si="86">F91/SUM(F$6:F$96)</f>
        <v>0</v>
      </c>
      <c r="G185">
        <f t="shared" si="86"/>
        <v>0</v>
      </c>
      <c r="H185">
        <f t="shared" si="86"/>
        <v>0</v>
      </c>
      <c r="I185">
        <f t="shared" si="86"/>
        <v>0</v>
      </c>
      <c r="J185">
        <f t="shared" si="86"/>
        <v>0</v>
      </c>
      <c r="K185">
        <f t="shared" si="86"/>
        <v>0</v>
      </c>
      <c r="L185">
        <f t="shared" si="86"/>
        <v>0</v>
      </c>
      <c r="M185">
        <f t="shared" si="86"/>
        <v>0</v>
      </c>
      <c r="N185">
        <f t="shared" si="86"/>
        <v>0</v>
      </c>
      <c r="O185">
        <f t="shared" si="86"/>
        <v>0</v>
      </c>
      <c r="P185">
        <f t="shared" si="86"/>
        <v>0</v>
      </c>
      <c r="Q185">
        <f t="shared" si="86"/>
        <v>0</v>
      </c>
      <c r="R185">
        <f t="shared" si="86"/>
        <v>0</v>
      </c>
      <c r="S185">
        <f t="shared" si="86"/>
        <v>0</v>
      </c>
      <c r="T185">
        <f t="shared" si="86"/>
        <v>0</v>
      </c>
      <c r="U185">
        <f t="shared" si="86"/>
        <v>0</v>
      </c>
      <c r="V185">
        <f t="shared" si="86"/>
        <v>0</v>
      </c>
      <c r="W185">
        <f t="shared" si="86"/>
        <v>0</v>
      </c>
      <c r="X185">
        <f t="shared" si="86"/>
        <v>0</v>
      </c>
      <c r="Y185">
        <f t="shared" si="86"/>
        <v>1.0228133681286304E-2</v>
      </c>
      <c r="Z185">
        <f t="shared" si="86"/>
        <v>2.2291386271870795E-3</v>
      </c>
      <c r="AA185">
        <f t="shared" si="86"/>
        <v>2.3117014122394082E-3</v>
      </c>
      <c r="AB185">
        <f t="shared" si="86"/>
        <v>1.5132408575031526E-3</v>
      </c>
      <c r="AC185">
        <f t="shared" si="86"/>
        <v>1.6388620414337942E-3</v>
      </c>
      <c r="AD185">
        <f t="shared" si="86"/>
        <v>1.8471096931279123E-3</v>
      </c>
    </row>
    <row r="186" spans="3:30" x14ac:dyDescent="0.25">
      <c r="C186">
        <v>106</v>
      </c>
      <c r="F186">
        <f t="shared" ref="F186:AD186" si="87">F92/SUM(F$6:F$96)</f>
        <v>0</v>
      </c>
      <c r="G186">
        <f t="shared" si="87"/>
        <v>0</v>
      </c>
      <c r="H186">
        <f t="shared" si="87"/>
        <v>0</v>
      </c>
      <c r="I186">
        <f t="shared" si="87"/>
        <v>0</v>
      </c>
      <c r="J186">
        <f t="shared" si="87"/>
        <v>0</v>
      </c>
      <c r="K186">
        <f t="shared" si="87"/>
        <v>0</v>
      </c>
      <c r="L186">
        <f t="shared" si="87"/>
        <v>0</v>
      </c>
      <c r="M186">
        <f t="shared" si="87"/>
        <v>0</v>
      </c>
      <c r="N186">
        <f t="shared" si="87"/>
        <v>0</v>
      </c>
      <c r="O186">
        <f t="shared" si="87"/>
        <v>0</v>
      </c>
      <c r="P186">
        <f t="shared" si="87"/>
        <v>0</v>
      </c>
      <c r="Q186">
        <f t="shared" si="87"/>
        <v>0</v>
      </c>
      <c r="R186">
        <f t="shared" si="87"/>
        <v>0</v>
      </c>
      <c r="S186">
        <f t="shared" si="87"/>
        <v>0</v>
      </c>
      <c r="T186">
        <f t="shared" si="87"/>
        <v>0</v>
      </c>
      <c r="U186">
        <f t="shared" si="87"/>
        <v>0</v>
      </c>
      <c r="V186">
        <f t="shared" si="87"/>
        <v>0</v>
      </c>
      <c r="W186">
        <f t="shared" si="87"/>
        <v>0</v>
      </c>
      <c r="X186">
        <f t="shared" si="87"/>
        <v>0</v>
      </c>
      <c r="Y186">
        <f t="shared" si="87"/>
        <v>0</v>
      </c>
      <c r="Z186">
        <f t="shared" si="87"/>
        <v>9.8418573351278602E-3</v>
      </c>
      <c r="AA186">
        <f t="shared" si="87"/>
        <v>2.1435776731674513E-3</v>
      </c>
      <c r="AB186">
        <f t="shared" si="87"/>
        <v>2.185792349726776E-3</v>
      </c>
      <c r="AC186">
        <f t="shared" si="87"/>
        <v>1.4287515233012565E-3</v>
      </c>
      <c r="AD186">
        <f t="shared" si="87"/>
        <v>1.5952310986104697E-3</v>
      </c>
    </row>
    <row r="187" spans="3:30" x14ac:dyDescent="0.25">
      <c r="C187">
        <v>107</v>
      </c>
      <c r="F187">
        <f t="shared" ref="F187:AD187" si="88">F93/SUM(F$6:F$96)</f>
        <v>0</v>
      </c>
      <c r="G187">
        <f t="shared" si="88"/>
        <v>0</v>
      </c>
      <c r="H187">
        <f t="shared" si="88"/>
        <v>0</v>
      </c>
      <c r="I187">
        <f t="shared" si="88"/>
        <v>0</v>
      </c>
      <c r="J187">
        <f t="shared" si="88"/>
        <v>0</v>
      </c>
      <c r="K187">
        <f t="shared" si="88"/>
        <v>0</v>
      </c>
      <c r="L187">
        <f t="shared" si="88"/>
        <v>0</v>
      </c>
      <c r="M187">
        <f t="shared" si="88"/>
        <v>0</v>
      </c>
      <c r="N187">
        <f t="shared" si="88"/>
        <v>0</v>
      </c>
      <c r="O187">
        <f t="shared" si="88"/>
        <v>0</v>
      </c>
      <c r="P187">
        <f t="shared" si="88"/>
        <v>0</v>
      </c>
      <c r="Q187">
        <f t="shared" si="88"/>
        <v>0</v>
      </c>
      <c r="R187">
        <f t="shared" si="88"/>
        <v>0</v>
      </c>
      <c r="S187">
        <f t="shared" si="88"/>
        <v>0</v>
      </c>
      <c r="T187">
        <f t="shared" si="88"/>
        <v>0</v>
      </c>
      <c r="U187">
        <f t="shared" si="88"/>
        <v>0</v>
      </c>
      <c r="V187">
        <f t="shared" si="88"/>
        <v>0</v>
      </c>
      <c r="W187">
        <f t="shared" si="88"/>
        <v>0</v>
      </c>
      <c r="X187">
        <f t="shared" si="88"/>
        <v>0</v>
      </c>
      <c r="Y187">
        <f t="shared" si="88"/>
        <v>0</v>
      </c>
      <c r="Z187">
        <f t="shared" si="88"/>
        <v>0</v>
      </c>
      <c r="AA187">
        <f t="shared" si="88"/>
        <v>9.456960322797579E-3</v>
      </c>
      <c r="AB187">
        <f t="shared" si="88"/>
        <v>2.0596889449348466E-3</v>
      </c>
      <c r="AC187">
        <f t="shared" si="88"/>
        <v>2.1851493885783921E-3</v>
      </c>
      <c r="AD187">
        <f t="shared" si="88"/>
        <v>1.4273120355988414E-3</v>
      </c>
    </row>
    <row r="188" spans="3:30" x14ac:dyDescent="0.25">
      <c r="C188">
        <v>108</v>
      </c>
      <c r="F188">
        <f t="shared" ref="F188:AD188" si="89">F94/SUM(F$6:F$96)</f>
        <v>0</v>
      </c>
      <c r="G188">
        <f t="shared" si="89"/>
        <v>0</v>
      </c>
      <c r="H188">
        <f t="shared" si="89"/>
        <v>0</v>
      </c>
      <c r="I188">
        <f t="shared" si="89"/>
        <v>0</v>
      </c>
      <c r="J188">
        <f t="shared" si="89"/>
        <v>0</v>
      </c>
      <c r="K188">
        <f t="shared" si="89"/>
        <v>0</v>
      </c>
      <c r="L188">
        <f t="shared" si="89"/>
        <v>0</v>
      </c>
      <c r="M188">
        <f t="shared" si="89"/>
        <v>0</v>
      </c>
      <c r="N188">
        <f t="shared" si="89"/>
        <v>0</v>
      </c>
      <c r="O188">
        <f t="shared" si="89"/>
        <v>0</v>
      </c>
      <c r="P188">
        <f t="shared" si="89"/>
        <v>0</v>
      </c>
      <c r="Q188">
        <f t="shared" si="89"/>
        <v>0</v>
      </c>
      <c r="R188">
        <f t="shared" si="89"/>
        <v>0</v>
      </c>
      <c r="S188">
        <f t="shared" si="89"/>
        <v>0</v>
      </c>
      <c r="T188">
        <f t="shared" si="89"/>
        <v>0</v>
      </c>
      <c r="U188">
        <f t="shared" si="89"/>
        <v>0</v>
      </c>
      <c r="V188">
        <f t="shared" si="89"/>
        <v>0</v>
      </c>
      <c r="W188">
        <f t="shared" si="89"/>
        <v>0</v>
      </c>
      <c r="X188">
        <f t="shared" si="89"/>
        <v>0</v>
      </c>
      <c r="Y188">
        <f t="shared" si="89"/>
        <v>0</v>
      </c>
      <c r="Z188">
        <f t="shared" si="89"/>
        <v>0</v>
      </c>
      <c r="AA188">
        <f t="shared" si="89"/>
        <v>0</v>
      </c>
      <c r="AB188">
        <f t="shared" si="89"/>
        <v>8.9953762084909634E-3</v>
      </c>
      <c r="AC188">
        <f t="shared" si="89"/>
        <v>1.933016766819347E-3</v>
      </c>
      <c r="AD188">
        <f t="shared" si="89"/>
        <v>2.098988287645355E-3</v>
      </c>
    </row>
    <row r="189" spans="3:30" x14ac:dyDescent="0.25">
      <c r="C189">
        <v>109</v>
      </c>
      <c r="F189">
        <f t="shared" ref="F189:AD189" si="90">F95/SUM(F$6:F$96)</f>
        <v>0</v>
      </c>
      <c r="G189">
        <f t="shared" si="90"/>
        <v>0</v>
      </c>
      <c r="H189">
        <f t="shared" si="90"/>
        <v>0</v>
      </c>
      <c r="I189">
        <f t="shared" si="90"/>
        <v>0</v>
      </c>
      <c r="J189">
        <f t="shared" si="90"/>
        <v>0</v>
      </c>
      <c r="K189">
        <f t="shared" si="90"/>
        <v>0</v>
      </c>
      <c r="L189">
        <f t="shared" si="90"/>
        <v>0</v>
      </c>
      <c r="M189">
        <f t="shared" si="90"/>
        <v>0</v>
      </c>
      <c r="N189">
        <f t="shared" si="90"/>
        <v>0</v>
      </c>
      <c r="O189">
        <f t="shared" si="90"/>
        <v>0</v>
      </c>
      <c r="P189">
        <f t="shared" si="90"/>
        <v>0</v>
      </c>
      <c r="Q189">
        <f t="shared" si="90"/>
        <v>0</v>
      </c>
      <c r="R189">
        <f t="shared" si="90"/>
        <v>0</v>
      </c>
      <c r="S189">
        <f t="shared" si="90"/>
        <v>0</v>
      </c>
      <c r="T189">
        <f t="shared" si="90"/>
        <v>0</v>
      </c>
      <c r="U189">
        <f t="shared" si="90"/>
        <v>0</v>
      </c>
      <c r="V189">
        <f t="shared" si="90"/>
        <v>0</v>
      </c>
      <c r="W189">
        <f t="shared" si="90"/>
        <v>0</v>
      </c>
      <c r="X189">
        <f t="shared" si="90"/>
        <v>0</v>
      </c>
      <c r="Y189">
        <f t="shared" si="90"/>
        <v>0</v>
      </c>
      <c r="Z189">
        <f t="shared" si="90"/>
        <v>0</v>
      </c>
      <c r="AA189">
        <f t="shared" si="90"/>
        <v>0</v>
      </c>
      <c r="AB189">
        <f t="shared" si="90"/>
        <v>0</v>
      </c>
      <c r="AC189">
        <f t="shared" si="90"/>
        <v>8.5725091398075395E-3</v>
      </c>
      <c r="AD189">
        <f t="shared" si="90"/>
        <v>1.9310692246337267E-3</v>
      </c>
    </row>
    <row r="190" spans="3:30" x14ac:dyDescent="0.25">
      <c r="C190">
        <v>110</v>
      </c>
      <c r="F190">
        <f t="shared" ref="F190:AD190" si="91">F96/SUM(F$6:F$96)</f>
        <v>0</v>
      </c>
      <c r="G190">
        <f t="shared" si="91"/>
        <v>0</v>
      </c>
      <c r="H190">
        <f t="shared" si="91"/>
        <v>0</v>
      </c>
      <c r="I190">
        <f t="shared" si="91"/>
        <v>0</v>
      </c>
      <c r="J190">
        <f t="shared" si="91"/>
        <v>0</v>
      </c>
      <c r="K190">
        <f t="shared" si="91"/>
        <v>0</v>
      </c>
      <c r="L190">
        <f t="shared" si="91"/>
        <v>0</v>
      </c>
      <c r="M190">
        <f t="shared" si="91"/>
        <v>0</v>
      </c>
      <c r="N190">
        <f t="shared" si="91"/>
        <v>0</v>
      </c>
      <c r="O190">
        <f t="shared" si="91"/>
        <v>0</v>
      </c>
      <c r="P190">
        <f t="shared" si="91"/>
        <v>0</v>
      </c>
      <c r="Q190">
        <f t="shared" si="91"/>
        <v>0</v>
      </c>
      <c r="R190">
        <f t="shared" si="91"/>
        <v>0</v>
      </c>
      <c r="S190">
        <f t="shared" si="91"/>
        <v>0</v>
      </c>
      <c r="T190">
        <f t="shared" si="91"/>
        <v>0</v>
      </c>
      <c r="U190">
        <f t="shared" si="91"/>
        <v>0</v>
      </c>
      <c r="V190">
        <f t="shared" si="91"/>
        <v>0</v>
      </c>
      <c r="W190">
        <f t="shared" si="91"/>
        <v>0</v>
      </c>
      <c r="X190">
        <f t="shared" si="91"/>
        <v>0</v>
      </c>
      <c r="Y190">
        <f t="shared" si="91"/>
        <v>0</v>
      </c>
      <c r="Z190">
        <f t="shared" si="91"/>
        <v>0</v>
      </c>
      <c r="AA190">
        <f t="shared" si="91"/>
        <v>0</v>
      </c>
      <c r="AB190">
        <f t="shared" si="91"/>
        <v>0</v>
      </c>
      <c r="AC190">
        <f t="shared" si="91"/>
        <v>0</v>
      </c>
      <c r="AD190">
        <f t="shared" si="91"/>
        <v>8.4799126820872331E-3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AD30"/>
  <sheetViews>
    <sheetView workbookViewId="0">
      <selection activeCell="AE8" sqref="AE8"/>
    </sheetView>
  </sheetViews>
  <sheetFormatPr defaultRowHeight="15" x14ac:dyDescent="0.25"/>
  <cols>
    <col min="3" max="3" width="13.140625" bestFit="1" customWidth="1"/>
  </cols>
  <sheetData>
    <row r="1" spans="3:30" x14ac:dyDescent="0.25">
      <c r="E1">
        <v>0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</row>
    <row r="2" spans="3:30" x14ac:dyDescent="0.25">
      <c r="D2">
        <v>-2</v>
      </c>
      <c r="E2">
        <v>-1</v>
      </c>
      <c r="F2">
        <v>0</v>
      </c>
      <c r="G2">
        <v>1</v>
      </c>
      <c r="H2">
        <v>2</v>
      </c>
      <c r="I2">
        <v>3</v>
      </c>
      <c r="J2">
        <v>4</v>
      </c>
      <c r="K2">
        <v>5</v>
      </c>
      <c r="L2">
        <v>6</v>
      </c>
      <c r="M2">
        <v>7</v>
      </c>
      <c r="N2">
        <v>8</v>
      </c>
      <c r="O2">
        <v>9</v>
      </c>
      <c r="P2">
        <v>10</v>
      </c>
      <c r="Q2">
        <v>11</v>
      </c>
      <c r="R2">
        <v>12</v>
      </c>
      <c r="S2">
        <v>13</v>
      </c>
      <c r="T2">
        <v>14</v>
      </c>
      <c r="U2">
        <v>15</v>
      </c>
      <c r="V2">
        <v>16</v>
      </c>
      <c r="W2">
        <v>17</v>
      </c>
      <c r="X2">
        <v>18</v>
      </c>
      <c r="Y2">
        <v>19</v>
      </c>
      <c r="Z2">
        <v>20</v>
      </c>
      <c r="AA2">
        <v>21</v>
      </c>
      <c r="AB2">
        <v>22</v>
      </c>
      <c r="AC2">
        <v>23</v>
      </c>
      <c r="AD2">
        <v>24</v>
      </c>
    </row>
    <row r="4" spans="3:30" x14ac:dyDescent="0.25">
      <c r="C4" t="s">
        <v>1</v>
      </c>
      <c r="D4">
        <v>22400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</row>
    <row r="5" spans="3:30" x14ac:dyDescent="0.25">
      <c r="C5" t="s">
        <v>30</v>
      </c>
      <c r="D5">
        <v>0</v>
      </c>
      <c r="E5">
        <v>16687</v>
      </c>
      <c r="F5">
        <v>17002</v>
      </c>
      <c r="G5">
        <v>17049</v>
      </c>
      <c r="H5">
        <v>17119</v>
      </c>
      <c r="I5">
        <v>17170</v>
      </c>
      <c r="J5">
        <v>17209</v>
      </c>
      <c r="K5">
        <v>17272</v>
      </c>
      <c r="L5">
        <v>17343</v>
      </c>
      <c r="M5">
        <v>17396</v>
      </c>
      <c r="N5">
        <v>17438</v>
      </c>
      <c r="O5">
        <v>17483</v>
      </c>
      <c r="P5">
        <v>17524</v>
      </c>
      <c r="Q5">
        <v>17585</v>
      </c>
      <c r="R5">
        <v>17627</v>
      </c>
      <c r="S5">
        <v>17666</v>
      </c>
      <c r="T5">
        <v>17714</v>
      </c>
      <c r="U5">
        <v>17741</v>
      </c>
      <c r="V5">
        <v>17765</v>
      </c>
      <c r="W5">
        <v>17819</v>
      </c>
      <c r="X5">
        <v>17846</v>
      </c>
      <c r="Y5">
        <v>17824</v>
      </c>
      <c r="Z5">
        <v>17834</v>
      </c>
      <c r="AA5">
        <v>17860</v>
      </c>
      <c r="AB5">
        <v>17849</v>
      </c>
      <c r="AC5">
        <v>17862</v>
      </c>
      <c r="AD5">
        <v>17891</v>
      </c>
    </row>
    <row r="6" spans="3:30" x14ac:dyDescent="0.25">
      <c r="C6" t="s">
        <v>32</v>
      </c>
      <c r="D6">
        <v>0</v>
      </c>
      <c r="E6">
        <v>2626</v>
      </c>
      <c r="F6">
        <v>2674</v>
      </c>
      <c r="G6">
        <v>2683</v>
      </c>
      <c r="H6">
        <v>2685</v>
      </c>
      <c r="I6">
        <v>2698</v>
      </c>
      <c r="J6">
        <v>2719</v>
      </c>
      <c r="K6">
        <v>2697</v>
      </c>
      <c r="L6">
        <v>2699</v>
      </c>
      <c r="M6">
        <v>2699</v>
      </c>
      <c r="N6">
        <v>2696</v>
      </c>
      <c r="O6">
        <v>2704</v>
      </c>
      <c r="P6">
        <v>2707</v>
      </c>
      <c r="Q6">
        <v>2695</v>
      </c>
      <c r="R6">
        <v>2700</v>
      </c>
      <c r="S6">
        <v>2707</v>
      </c>
      <c r="T6">
        <v>2718</v>
      </c>
      <c r="U6">
        <v>2726</v>
      </c>
      <c r="V6">
        <v>2714</v>
      </c>
      <c r="W6">
        <v>2712</v>
      </c>
      <c r="X6">
        <v>2718</v>
      </c>
      <c r="Y6">
        <v>2755</v>
      </c>
      <c r="Z6">
        <v>2761</v>
      </c>
      <c r="AA6">
        <v>2738</v>
      </c>
      <c r="AB6">
        <v>2736</v>
      </c>
      <c r="AC6">
        <v>2738</v>
      </c>
      <c r="AD6">
        <v>2736</v>
      </c>
    </row>
    <row r="7" spans="3:30" x14ac:dyDescent="0.25">
      <c r="C7" t="s">
        <v>31</v>
      </c>
      <c r="D7">
        <v>0</v>
      </c>
      <c r="E7">
        <v>3087</v>
      </c>
      <c r="F7">
        <v>3140</v>
      </c>
      <c r="G7">
        <v>3160</v>
      </c>
      <c r="H7">
        <v>3167</v>
      </c>
      <c r="I7">
        <v>3161</v>
      </c>
      <c r="J7">
        <v>3168</v>
      </c>
      <c r="K7">
        <v>3182</v>
      </c>
      <c r="L7">
        <v>3190</v>
      </c>
      <c r="M7">
        <v>3206</v>
      </c>
      <c r="N7">
        <v>3197</v>
      </c>
      <c r="O7">
        <v>3200</v>
      </c>
      <c r="P7">
        <v>3184</v>
      </c>
      <c r="Q7">
        <v>3183</v>
      </c>
      <c r="R7">
        <v>3172</v>
      </c>
      <c r="S7">
        <v>3163</v>
      </c>
      <c r="T7">
        <v>3157</v>
      </c>
      <c r="U7">
        <v>3145</v>
      </c>
      <c r="V7">
        <v>3162</v>
      </c>
      <c r="W7">
        <v>3164</v>
      </c>
      <c r="X7">
        <v>3176</v>
      </c>
      <c r="Y7">
        <v>3179</v>
      </c>
      <c r="Z7">
        <v>3181</v>
      </c>
      <c r="AA7">
        <v>3194</v>
      </c>
      <c r="AB7">
        <v>3205</v>
      </c>
      <c r="AC7">
        <v>3197</v>
      </c>
      <c r="AD7">
        <v>3194</v>
      </c>
    </row>
    <row r="8" spans="3:30" x14ac:dyDescent="0.25">
      <c r="C8" t="s">
        <v>33</v>
      </c>
      <c r="D8">
        <v>0</v>
      </c>
      <c r="E8">
        <v>0</v>
      </c>
      <c r="F8">
        <v>0</v>
      </c>
      <c r="G8">
        <v>340</v>
      </c>
      <c r="H8">
        <v>677</v>
      </c>
      <c r="I8">
        <v>1035</v>
      </c>
      <c r="J8">
        <v>1384</v>
      </c>
      <c r="K8">
        <v>1745</v>
      </c>
      <c r="L8">
        <v>2080</v>
      </c>
      <c r="M8">
        <v>2427</v>
      </c>
      <c r="N8">
        <v>2813</v>
      </c>
      <c r="O8">
        <v>3173</v>
      </c>
      <c r="P8">
        <v>3561</v>
      </c>
      <c r="Q8">
        <v>3929</v>
      </c>
      <c r="R8">
        <v>4309</v>
      </c>
      <c r="S8">
        <v>4688</v>
      </c>
      <c r="T8">
        <v>5051</v>
      </c>
      <c r="U8">
        <v>5444</v>
      </c>
      <c r="V8">
        <v>5831</v>
      </c>
      <c r="W8">
        <v>6193</v>
      </c>
      <c r="X8">
        <v>6564</v>
      </c>
      <c r="Y8">
        <v>6962</v>
      </c>
      <c r="Z8">
        <v>7360</v>
      </c>
      <c r="AA8">
        <v>7760</v>
      </c>
      <c r="AB8">
        <v>8178</v>
      </c>
      <c r="AC8">
        <v>8587</v>
      </c>
      <c r="AD8">
        <v>8979</v>
      </c>
    </row>
    <row r="10" spans="3:30" x14ac:dyDescent="0.25">
      <c r="C10" t="s">
        <v>30</v>
      </c>
      <c r="E10">
        <f>E5/SUM(E$5:E$7)</f>
        <v>0.7449553571428571</v>
      </c>
      <c r="F10">
        <f t="shared" ref="F10:AD12" si="0">F5/SUM(F$5:F$7)</f>
        <v>0.74517882187938289</v>
      </c>
      <c r="G10">
        <f t="shared" si="0"/>
        <v>0.74475799405905996</v>
      </c>
      <c r="H10">
        <f t="shared" si="0"/>
        <v>0.74524400330851948</v>
      </c>
      <c r="I10">
        <f t="shared" si="0"/>
        <v>0.7455816579095923</v>
      </c>
      <c r="J10">
        <f t="shared" si="0"/>
        <v>0.74510737790093517</v>
      </c>
      <c r="K10">
        <f t="shared" si="0"/>
        <v>0.74605848559457477</v>
      </c>
      <c r="L10">
        <f t="shared" si="0"/>
        <v>0.74651342975206614</v>
      </c>
      <c r="M10">
        <f t="shared" si="0"/>
        <v>0.74657740011158324</v>
      </c>
      <c r="N10">
        <f t="shared" si="0"/>
        <v>0.74741759890274739</v>
      </c>
      <c r="O10">
        <f t="shared" si="0"/>
        <v>0.74755205883610554</v>
      </c>
      <c r="P10">
        <f t="shared" si="0"/>
        <v>0.74840913944052956</v>
      </c>
      <c r="Q10">
        <f t="shared" si="0"/>
        <v>0.7494779013766355</v>
      </c>
      <c r="R10">
        <f t="shared" si="0"/>
        <v>0.75011702625643639</v>
      </c>
      <c r="S10">
        <f t="shared" si="0"/>
        <v>0.75059483344663491</v>
      </c>
      <c r="T10">
        <f t="shared" si="0"/>
        <v>0.75094323625418624</v>
      </c>
      <c r="U10">
        <f t="shared" si="0"/>
        <v>0.75135524309673052</v>
      </c>
      <c r="V10">
        <f t="shared" si="0"/>
        <v>0.75144875428281377</v>
      </c>
      <c r="W10">
        <f t="shared" si="0"/>
        <v>0.75201519307870857</v>
      </c>
      <c r="X10">
        <f t="shared" si="0"/>
        <v>0.75172704296545911</v>
      </c>
      <c r="Y10">
        <f t="shared" si="0"/>
        <v>0.75023150096809499</v>
      </c>
      <c r="Z10">
        <f t="shared" si="0"/>
        <v>0.75008411843876177</v>
      </c>
      <c r="AA10">
        <f t="shared" si="0"/>
        <v>0.75067249495628785</v>
      </c>
      <c r="AB10">
        <f t="shared" si="0"/>
        <v>0.75027322404371588</v>
      </c>
      <c r="AC10">
        <f t="shared" si="0"/>
        <v>0.75059881497667769</v>
      </c>
      <c r="AD10">
        <f t="shared" si="0"/>
        <v>0.75105998908526095</v>
      </c>
    </row>
    <row r="11" spans="3:30" x14ac:dyDescent="0.25">
      <c r="C11" t="s">
        <v>32</v>
      </c>
      <c r="E11">
        <f t="shared" ref="E11:T12" si="1">E6/SUM(E$5:E$7)</f>
        <v>0.11723214285714285</v>
      </c>
      <c r="F11">
        <f t="shared" si="1"/>
        <v>0.1171984572230014</v>
      </c>
      <c r="G11">
        <f t="shared" si="1"/>
        <v>0.11720251616285166</v>
      </c>
      <c r="H11">
        <f t="shared" si="1"/>
        <v>0.11688650907666188</v>
      </c>
      <c r="I11">
        <f t="shared" si="1"/>
        <v>0.11715662859872335</v>
      </c>
      <c r="J11">
        <f t="shared" si="1"/>
        <v>0.11772601316245238</v>
      </c>
      <c r="K11">
        <f t="shared" si="1"/>
        <v>0.11649604768692497</v>
      </c>
      <c r="L11">
        <f t="shared" si="1"/>
        <v>0.11617596418732783</v>
      </c>
      <c r="M11">
        <f t="shared" si="1"/>
        <v>0.11583193854341016</v>
      </c>
      <c r="N11">
        <f t="shared" si="1"/>
        <v>0.11555441258411556</v>
      </c>
      <c r="O11">
        <f t="shared" si="1"/>
        <v>0.11561978877153975</v>
      </c>
      <c r="P11">
        <f t="shared" si="1"/>
        <v>0.11560965193252189</v>
      </c>
      <c r="Q11">
        <f t="shared" si="1"/>
        <v>0.11486169714017816</v>
      </c>
      <c r="R11">
        <f t="shared" si="1"/>
        <v>0.11489850631941785</v>
      </c>
      <c r="S11">
        <f t="shared" si="1"/>
        <v>0.11501529571719918</v>
      </c>
      <c r="T11">
        <f t="shared" si="1"/>
        <v>0.11522319725295689</v>
      </c>
      <c r="U11">
        <f t="shared" si="0"/>
        <v>0.11544977130272743</v>
      </c>
      <c r="V11">
        <f t="shared" si="0"/>
        <v>0.11480055835201557</v>
      </c>
      <c r="W11">
        <f t="shared" si="0"/>
        <v>0.11445452627136526</v>
      </c>
      <c r="X11">
        <f t="shared" si="0"/>
        <v>0.11449031171019376</v>
      </c>
      <c r="Y11">
        <f t="shared" si="0"/>
        <v>0.11596093947301961</v>
      </c>
      <c r="Z11">
        <f t="shared" si="0"/>
        <v>0.11612550471063257</v>
      </c>
      <c r="AA11">
        <f t="shared" si="0"/>
        <v>0.11508069939475454</v>
      </c>
      <c r="AB11">
        <f t="shared" si="0"/>
        <v>0.1150063051702396</v>
      </c>
      <c r="AC11">
        <f t="shared" si="0"/>
        <v>0.11505651972937765</v>
      </c>
      <c r="AD11">
        <f t="shared" si="0"/>
        <v>0.11485663909995382</v>
      </c>
    </row>
    <row r="12" spans="3:30" x14ac:dyDescent="0.25">
      <c r="C12" t="s">
        <v>31</v>
      </c>
      <c r="E12">
        <f t="shared" si="1"/>
        <v>0.1378125</v>
      </c>
      <c r="F12">
        <f t="shared" si="0"/>
        <v>0.13762272089761571</v>
      </c>
      <c r="G12">
        <f t="shared" si="0"/>
        <v>0.13803948977808841</v>
      </c>
      <c r="H12">
        <f t="shared" si="0"/>
        <v>0.13786948761481868</v>
      </c>
      <c r="I12">
        <f t="shared" si="0"/>
        <v>0.1372617134916844</v>
      </c>
      <c r="J12">
        <f t="shared" si="0"/>
        <v>0.13716660893661239</v>
      </c>
      <c r="K12">
        <f t="shared" si="0"/>
        <v>0.13744546671850028</v>
      </c>
      <c r="L12">
        <f t="shared" si="0"/>
        <v>0.13731060606060605</v>
      </c>
      <c r="M12">
        <f t="shared" si="0"/>
        <v>0.13759066134500667</v>
      </c>
      <c r="N12">
        <f t="shared" si="0"/>
        <v>0.13702798851313702</v>
      </c>
      <c r="O12">
        <f t="shared" si="0"/>
        <v>0.13682815239235474</v>
      </c>
      <c r="P12">
        <f t="shared" si="0"/>
        <v>0.13598120862694854</v>
      </c>
      <c r="Q12">
        <f t="shared" si="0"/>
        <v>0.13566040148318628</v>
      </c>
      <c r="R12">
        <f t="shared" si="0"/>
        <v>0.13498446742414572</v>
      </c>
      <c r="S12">
        <f t="shared" si="0"/>
        <v>0.13438987083616588</v>
      </c>
      <c r="T12">
        <f t="shared" si="0"/>
        <v>0.13383356649285685</v>
      </c>
      <c r="U12">
        <f t="shared" si="0"/>
        <v>0.1331949856005421</v>
      </c>
      <c r="V12">
        <f t="shared" si="0"/>
        <v>0.13375068736517068</v>
      </c>
      <c r="W12">
        <f t="shared" si="0"/>
        <v>0.13353028064992614</v>
      </c>
      <c r="X12">
        <f t="shared" si="0"/>
        <v>0.13378264532434708</v>
      </c>
      <c r="Y12">
        <f t="shared" si="0"/>
        <v>0.13380755955888543</v>
      </c>
      <c r="Z12">
        <f t="shared" si="0"/>
        <v>0.13379037685060566</v>
      </c>
      <c r="AA12">
        <f t="shared" si="0"/>
        <v>0.13424680564895763</v>
      </c>
      <c r="AB12">
        <f t="shared" si="0"/>
        <v>0.13472047078604454</v>
      </c>
      <c r="AC12">
        <f t="shared" si="0"/>
        <v>0.13434466529394462</v>
      </c>
      <c r="AD12">
        <f t="shared" si="0"/>
        <v>0.13408337181478527</v>
      </c>
    </row>
    <row r="14" spans="3:30" x14ac:dyDescent="0.25">
      <c r="C14" t="s">
        <v>1</v>
      </c>
      <c r="D14">
        <v>22400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</row>
    <row r="15" spans="3:30" x14ac:dyDescent="0.25">
      <c r="C15" t="s">
        <v>34</v>
      </c>
      <c r="D15">
        <v>0</v>
      </c>
      <c r="E15">
        <v>10983</v>
      </c>
      <c r="F15">
        <v>11178</v>
      </c>
      <c r="G15">
        <v>11195</v>
      </c>
      <c r="H15">
        <v>11240</v>
      </c>
      <c r="I15">
        <v>11241</v>
      </c>
      <c r="J15">
        <v>11276</v>
      </c>
      <c r="K15">
        <v>11305</v>
      </c>
      <c r="L15">
        <v>11319</v>
      </c>
      <c r="M15">
        <v>11351</v>
      </c>
      <c r="N15">
        <v>11375</v>
      </c>
      <c r="O15">
        <v>11381</v>
      </c>
      <c r="P15">
        <v>11403</v>
      </c>
      <c r="Q15">
        <v>11414</v>
      </c>
      <c r="R15">
        <v>11420</v>
      </c>
      <c r="S15">
        <v>11446</v>
      </c>
      <c r="T15">
        <v>11484</v>
      </c>
      <c r="U15">
        <v>11506</v>
      </c>
      <c r="V15">
        <v>11524</v>
      </c>
      <c r="W15">
        <v>11527</v>
      </c>
      <c r="X15">
        <v>11527</v>
      </c>
      <c r="Y15">
        <v>11527</v>
      </c>
      <c r="Z15">
        <v>11509</v>
      </c>
      <c r="AA15">
        <v>11510</v>
      </c>
      <c r="AB15">
        <v>11486</v>
      </c>
      <c r="AC15">
        <v>11468</v>
      </c>
      <c r="AD15">
        <v>11473</v>
      </c>
    </row>
    <row r="16" spans="3:30" x14ac:dyDescent="0.25">
      <c r="C16" t="s">
        <v>35</v>
      </c>
      <c r="D16">
        <v>0</v>
      </c>
      <c r="E16">
        <v>11417</v>
      </c>
      <c r="F16">
        <v>11638</v>
      </c>
      <c r="G16">
        <v>11697</v>
      </c>
      <c r="H16">
        <v>11731</v>
      </c>
      <c r="I16">
        <v>11788</v>
      </c>
      <c r="J16">
        <v>11820</v>
      </c>
      <c r="K16">
        <v>11846</v>
      </c>
      <c r="L16">
        <v>11913</v>
      </c>
      <c r="M16">
        <v>11950</v>
      </c>
      <c r="N16">
        <v>11956</v>
      </c>
      <c r="O16">
        <v>12006</v>
      </c>
      <c r="P16">
        <v>12012</v>
      </c>
      <c r="Q16">
        <v>12049</v>
      </c>
      <c r="R16">
        <v>12079</v>
      </c>
      <c r="S16">
        <v>12090</v>
      </c>
      <c r="T16">
        <v>12105</v>
      </c>
      <c r="U16">
        <v>12106</v>
      </c>
      <c r="V16">
        <v>12117</v>
      </c>
      <c r="W16">
        <v>12168</v>
      </c>
      <c r="X16">
        <v>12213</v>
      </c>
      <c r="Y16">
        <v>12231</v>
      </c>
      <c r="Z16">
        <v>12267</v>
      </c>
      <c r="AA16">
        <v>12282</v>
      </c>
      <c r="AB16">
        <v>12304</v>
      </c>
      <c r="AC16">
        <v>12329</v>
      </c>
      <c r="AD16">
        <v>12348</v>
      </c>
    </row>
    <row r="17" spans="3:30" x14ac:dyDescent="0.25">
      <c r="C17" t="s">
        <v>33</v>
      </c>
      <c r="D17">
        <v>0</v>
      </c>
      <c r="E17">
        <v>0</v>
      </c>
      <c r="F17">
        <v>0</v>
      </c>
      <c r="G17">
        <v>340</v>
      </c>
      <c r="H17">
        <v>677</v>
      </c>
      <c r="I17">
        <v>1035</v>
      </c>
      <c r="J17">
        <v>1384</v>
      </c>
      <c r="K17">
        <v>1745</v>
      </c>
      <c r="L17">
        <v>2080</v>
      </c>
      <c r="M17">
        <v>2427</v>
      </c>
      <c r="N17">
        <v>2813</v>
      </c>
      <c r="O17">
        <v>3173</v>
      </c>
      <c r="P17">
        <v>3561</v>
      </c>
      <c r="Q17">
        <v>3929</v>
      </c>
      <c r="R17">
        <v>4309</v>
      </c>
      <c r="S17">
        <v>4688</v>
      </c>
      <c r="T17">
        <v>5051</v>
      </c>
      <c r="U17">
        <v>5444</v>
      </c>
      <c r="V17">
        <v>5831</v>
      </c>
      <c r="W17">
        <v>6193</v>
      </c>
      <c r="X17">
        <v>6564</v>
      </c>
      <c r="Y17">
        <v>6962</v>
      </c>
      <c r="Z17">
        <v>7360</v>
      </c>
      <c r="AA17">
        <v>7760</v>
      </c>
      <c r="AB17">
        <v>8178</v>
      </c>
      <c r="AC17">
        <v>8587</v>
      </c>
      <c r="AD17">
        <v>8979</v>
      </c>
    </row>
    <row r="19" spans="3:30" x14ac:dyDescent="0.25">
      <c r="C19" t="s">
        <v>34</v>
      </c>
      <c r="E19">
        <f>E15/(E15+E16)</f>
        <v>0.49031249999999998</v>
      </c>
      <c r="F19">
        <f t="shared" ref="F19:AD19" si="2">F15/(F15+F16)</f>
        <v>0.48991935483870969</v>
      </c>
      <c r="G19">
        <f t="shared" si="2"/>
        <v>0.48903547090686705</v>
      </c>
      <c r="H19">
        <f t="shared" si="2"/>
        <v>0.48931261155369815</v>
      </c>
      <c r="I19">
        <f t="shared" si="2"/>
        <v>0.48812367015502195</v>
      </c>
      <c r="J19">
        <f t="shared" si="2"/>
        <v>0.48822306892968481</v>
      </c>
      <c r="K19">
        <f t="shared" si="2"/>
        <v>0.48831583948857499</v>
      </c>
      <c r="L19">
        <f t="shared" si="2"/>
        <v>0.48721590909090912</v>
      </c>
      <c r="M19">
        <f t="shared" si="2"/>
        <v>0.48714647440024034</v>
      </c>
      <c r="N19">
        <f t="shared" si="2"/>
        <v>0.48754875487548754</v>
      </c>
      <c r="O19">
        <f t="shared" si="2"/>
        <v>0.4866378757429341</v>
      </c>
      <c r="P19">
        <f t="shared" si="2"/>
        <v>0.48699551569506727</v>
      </c>
      <c r="Q19">
        <f t="shared" si="2"/>
        <v>0.48646805608830923</v>
      </c>
      <c r="R19">
        <f t="shared" si="2"/>
        <v>0.48597812672879698</v>
      </c>
      <c r="S19">
        <f t="shared" si="2"/>
        <v>0.48631883072739635</v>
      </c>
      <c r="T19">
        <f t="shared" si="2"/>
        <v>0.48683708508202977</v>
      </c>
      <c r="U19">
        <f t="shared" si="2"/>
        <v>0.48729459596815178</v>
      </c>
      <c r="V19">
        <f t="shared" si="2"/>
        <v>0.48745822934732036</v>
      </c>
      <c r="W19">
        <f t="shared" si="2"/>
        <v>0.48647393964971514</v>
      </c>
      <c r="X19">
        <f t="shared" si="2"/>
        <v>0.4855518112889638</v>
      </c>
      <c r="Y19">
        <f t="shared" si="2"/>
        <v>0.48518393804192272</v>
      </c>
      <c r="Z19">
        <f t="shared" si="2"/>
        <v>0.48405955585464333</v>
      </c>
      <c r="AA19">
        <f t="shared" si="2"/>
        <v>0.48377605917955613</v>
      </c>
      <c r="AB19">
        <f t="shared" si="2"/>
        <v>0.48280790248003363</v>
      </c>
      <c r="AC19">
        <f t="shared" si="2"/>
        <v>0.4819094843887885</v>
      </c>
      <c r="AD19">
        <f t="shared" si="2"/>
        <v>0.48163385248310314</v>
      </c>
    </row>
    <row r="20" spans="3:30" x14ac:dyDescent="0.25">
      <c r="C20" t="s">
        <v>35</v>
      </c>
      <c r="E20">
        <f>E16/(E15+E16)</f>
        <v>0.50968749999999996</v>
      </c>
      <c r="F20">
        <f t="shared" ref="F20:AD20" si="3">F16/(F15+F16)</f>
        <v>0.51008064516129037</v>
      </c>
      <c r="G20">
        <f t="shared" si="3"/>
        <v>0.51096452909313295</v>
      </c>
      <c r="H20">
        <f t="shared" si="3"/>
        <v>0.5106873884463019</v>
      </c>
      <c r="I20">
        <f t="shared" si="3"/>
        <v>0.51187632984497811</v>
      </c>
      <c r="J20">
        <f t="shared" si="3"/>
        <v>0.51177693107031519</v>
      </c>
      <c r="K20">
        <f t="shared" si="3"/>
        <v>0.51168416051142496</v>
      </c>
      <c r="L20">
        <f t="shared" si="3"/>
        <v>0.51278409090909094</v>
      </c>
      <c r="M20">
        <f t="shared" si="3"/>
        <v>0.51285352559975972</v>
      </c>
      <c r="N20">
        <f t="shared" si="3"/>
        <v>0.51245124512451246</v>
      </c>
      <c r="O20">
        <f t="shared" si="3"/>
        <v>0.51336212425706584</v>
      </c>
      <c r="P20">
        <f t="shared" si="3"/>
        <v>0.51300448430493273</v>
      </c>
      <c r="Q20">
        <f t="shared" si="3"/>
        <v>0.51353194391169077</v>
      </c>
      <c r="R20">
        <f t="shared" si="3"/>
        <v>0.51402187327120308</v>
      </c>
      <c r="S20">
        <f t="shared" si="3"/>
        <v>0.51368116927260365</v>
      </c>
      <c r="T20">
        <f t="shared" si="3"/>
        <v>0.51316291491797028</v>
      </c>
      <c r="U20">
        <f t="shared" si="3"/>
        <v>0.51270540403184817</v>
      </c>
      <c r="V20">
        <f t="shared" si="3"/>
        <v>0.5125417706526797</v>
      </c>
      <c r="W20">
        <f t="shared" si="3"/>
        <v>0.51352606035028492</v>
      </c>
      <c r="X20">
        <f t="shared" si="3"/>
        <v>0.51444818871103626</v>
      </c>
      <c r="Y20">
        <f t="shared" si="3"/>
        <v>0.51481606195807728</v>
      </c>
      <c r="Z20">
        <f t="shared" si="3"/>
        <v>0.51594044414535667</v>
      </c>
      <c r="AA20">
        <f t="shared" si="3"/>
        <v>0.51622394082044387</v>
      </c>
      <c r="AB20">
        <f t="shared" si="3"/>
        <v>0.51719209751996642</v>
      </c>
      <c r="AC20">
        <f t="shared" si="3"/>
        <v>0.51809051561121144</v>
      </c>
      <c r="AD20">
        <f t="shared" si="3"/>
        <v>0.5183661475168968</v>
      </c>
    </row>
    <row r="24" spans="3:30" x14ac:dyDescent="0.25">
      <c r="C24" t="s">
        <v>1</v>
      </c>
      <c r="D24">
        <v>22400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</row>
    <row r="25" spans="3:30" x14ac:dyDescent="0.25">
      <c r="C25" t="s">
        <v>36</v>
      </c>
      <c r="D25">
        <v>0</v>
      </c>
      <c r="E25">
        <v>15784</v>
      </c>
      <c r="F25">
        <v>16078</v>
      </c>
      <c r="G25">
        <v>16123</v>
      </c>
      <c r="H25">
        <v>16194</v>
      </c>
      <c r="I25">
        <v>16255</v>
      </c>
      <c r="J25">
        <v>16288</v>
      </c>
      <c r="K25">
        <v>16342</v>
      </c>
      <c r="L25">
        <v>16414</v>
      </c>
      <c r="M25">
        <v>16451</v>
      </c>
      <c r="N25">
        <v>16443</v>
      </c>
      <c r="O25">
        <v>16462</v>
      </c>
      <c r="P25">
        <v>16484</v>
      </c>
      <c r="Q25">
        <v>16492</v>
      </c>
      <c r="R25">
        <v>16512</v>
      </c>
      <c r="S25">
        <v>16544</v>
      </c>
      <c r="T25">
        <v>16595</v>
      </c>
      <c r="U25">
        <v>16605</v>
      </c>
      <c r="V25">
        <v>16619</v>
      </c>
      <c r="W25">
        <v>16637</v>
      </c>
      <c r="X25">
        <v>16670</v>
      </c>
      <c r="Y25">
        <v>16690</v>
      </c>
      <c r="Z25">
        <v>16689</v>
      </c>
      <c r="AA25">
        <v>16700</v>
      </c>
      <c r="AB25">
        <v>16706</v>
      </c>
      <c r="AC25">
        <v>16700</v>
      </c>
      <c r="AD25">
        <v>16713</v>
      </c>
    </row>
    <row r="26" spans="3:30" x14ac:dyDescent="0.25">
      <c r="C26" t="s">
        <v>37</v>
      </c>
      <c r="D26">
        <v>0</v>
      </c>
      <c r="E26">
        <v>6616</v>
      </c>
      <c r="F26">
        <v>6738</v>
      </c>
      <c r="G26">
        <v>6769</v>
      </c>
      <c r="H26">
        <v>6777</v>
      </c>
      <c r="I26">
        <v>6774</v>
      </c>
      <c r="J26">
        <v>6808</v>
      </c>
      <c r="K26">
        <v>6809</v>
      </c>
      <c r="L26">
        <v>6818</v>
      </c>
      <c r="M26">
        <v>6850</v>
      </c>
      <c r="N26">
        <v>6888</v>
      </c>
      <c r="O26">
        <v>6925</v>
      </c>
      <c r="P26">
        <v>6931</v>
      </c>
      <c r="Q26">
        <v>6971</v>
      </c>
      <c r="R26">
        <v>6987</v>
      </c>
      <c r="S26">
        <v>6992</v>
      </c>
      <c r="T26">
        <v>6994</v>
      </c>
      <c r="U26">
        <v>7007</v>
      </c>
      <c r="V26">
        <v>7022</v>
      </c>
      <c r="W26">
        <v>7058</v>
      </c>
      <c r="X26">
        <v>7070</v>
      </c>
      <c r="Y26">
        <v>7068</v>
      </c>
      <c r="Z26">
        <v>7087</v>
      </c>
      <c r="AA26">
        <v>7092</v>
      </c>
      <c r="AB26">
        <v>7084</v>
      </c>
      <c r="AC26">
        <v>7097</v>
      </c>
      <c r="AD26">
        <v>7108</v>
      </c>
    </row>
    <row r="27" spans="3:30" x14ac:dyDescent="0.25">
      <c r="C27" t="s">
        <v>33</v>
      </c>
      <c r="D27">
        <v>0</v>
      </c>
      <c r="E27">
        <v>0</v>
      </c>
      <c r="F27">
        <v>0</v>
      </c>
      <c r="G27">
        <v>340</v>
      </c>
      <c r="H27">
        <v>677</v>
      </c>
      <c r="I27">
        <v>1035</v>
      </c>
      <c r="J27">
        <v>1384</v>
      </c>
      <c r="K27">
        <v>1745</v>
      </c>
      <c r="L27">
        <v>2080</v>
      </c>
      <c r="M27">
        <v>2427</v>
      </c>
      <c r="N27">
        <v>2813</v>
      </c>
      <c r="O27">
        <v>3173</v>
      </c>
      <c r="P27">
        <v>3561</v>
      </c>
      <c r="Q27">
        <v>3929</v>
      </c>
      <c r="R27">
        <v>4309</v>
      </c>
      <c r="S27">
        <v>4688</v>
      </c>
      <c r="T27">
        <v>5051</v>
      </c>
      <c r="U27">
        <v>5444</v>
      </c>
      <c r="V27">
        <v>5831</v>
      </c>
      <c r="W27">
        <v>6193</v>
      </c>
      <c r="X27">
        <v>6564</v>
      </c>
      <c r="Y27">
        <v>6962</v>
      </c>
      <c r="Z27">
        <v>7360</v>
      </c>
      <c r="AA27">
        <v>7760</v>
      </c>
      <c r="AB27">
        <v>8178</v>
      </c>
      <c r="AC27">
        <v>8587</v>
      </c>
      <c r="AD27">
        <v>8979</v>
      </c>
    </row>
    <row r="29" spans="3:30" x14ac:dyDescent="0.25">
      <c r="C29" t="s">
        <v>36</v>
      </c>
      <c r="E29">
        <f>E25/(E25+E26)</f>
        <v>0.70464285714285713</v>
      </c>
      <c r="F29">
        <f t="shared" ref="F29:AD29" si="4">F25/(F25+F26)</f>
        <v>0.70468092566619911</v>
      </c>
      <c r="G29">
        <f t="shared" si="4"/>
        <v>0.70430718154813909</v>
      </c>
      <c r="H29">
        <f t="shared" si="4"/>
        <v>0.70497583910147577</v>
      </c>
      <c r="I29">
        <f t="shared" si="4"/>
        <v>0.70584914672803856</v>
      </c>
      <c r="J29">
        <f t="shared" si="4"/>
        <v>0.70523034291652231</v>
      </c>
      <c r="K29">
        <f t="shared" si="4"/>
        <v>0.70588743466804893</v>
      </c>
      <c r="L29">
        <f t="shared" si="4"/>
        <v>0.70652548209366395</v>
      </c>
      <c r="M29">
        <f t="shared" si="4"/>
        <v>0.70602120080683228</v>
      </c>
      <c r="N29">
        <f t="shared" si="4"/>
        <v>0.70477047704770479</v>
      </c>
      <c r="O29">
        <f t="shared" si="4"/>
        <v>0.7038953264634199</v>
      </c>
      <c r="P29">
        <f t="shared" si="4"/>
        <v>0.70399316677343582</v>
      </c>
      <c r="Q29">
        <f t="shared" si="4"/>
        <v>0.70289391808379154</v>
      </c>
      <c r="R29">
        <f t="shared" si="4"/>
        <v>0.7026681986467509</v>
      </c>
      <c r="S29">
        <f t="shared" si="4"/>
        <v>0.70292318150917743</v>
      </c>
      <c r="T29">
        <f t="shared" si="4"/>
        <v>0.70350587138072829</v>
      </c>
      <c r="U29">
        <f t="shared" si="4"/>
        <v>0.70324411316279856</v>
      </c>
      <c r="V29">
        <f t="shared" si="4"/>
        <v>0.7029736474768411</v>
      </c>
      <c r="W29">
        <f t="shared" si="4"/>
        <v>0.70213125131884369</v>
      </c>
      <c r="X29">
        <f t="shared" si="4"/>
        <v>0.70219039595619204</v>
      </c>
      <c r="Y29">
        <f t="shared" si="4"/>
        <v>0.70250021045542554</v>
      </c>
      <c r="Z29">
        <f t="shared" si="4"/>
        <v>0.70192631224764468</v>
      </c>
      <c r="AA29">
        <f t="shared" si="4"/>
        <v>0.70191661062542032</v>
      </c>
      <c r="AB29">
        <f t="shared" si="4"/>
        <v>0.70222782681799079</v>
      </c>
      <c r="AC29">
        <f t="shared" si="4"/>
        <v>0.70176913056267598</v>
      </c>
      <c r="AD29">
        <f t="shared" si="4"/>
        <v>0.7016078250283363</v>
      </c>
    </row>
    <row r="30" spans="3:30" x14ac:dyDescent="0.25">
      <c r="C30" t="s">
        <v>37</v>
      </c>
      <c r="E30">
        <f>E26/(E25+E26)</f>
        <v>0.29535714285714287</v>
      </c>
      <c r="F30">
        <f t="shared" ref="F30:AD30" si="5">F26/(F25+F26)</f>
        <v>0.29531907433380084</v>
      </c>
      <c r="G30">
        <f t="shared" si="5"/>
        <v>0.29569281845186091</v>
      </c>
      <c r="H30">
        <f t="shared" si="5"/>
        <v>0.29502416089852423</v>
      </c>
      <c r="I30">
        <f t="shared" si="5"/>
        <v>0.29415085327196144</v>
      </c>
      <c r="J30">
        <f t="shared" si="5"/>
        <v>0.29476965708347763</v>
      </c>
      <c r="K30">
        <f t="shared" si="5"/>
        <v>0.29411256533195113</v>
      </c>
      <c r="L30">
        <f t="shared" si="5"/>
        <v>0.29347451790633611</v>
      </c>
      <c r="M30">
        <f t="shared" si="5"/>
        <v>0.29397879919316766</v>
      </c>
      <c r="N30">
        <f t="shared" si="5"/>
        <v>0.29522952295229521</v>
      </c>
      <c r="O30">
        <f t="shared" si="5"/>
        <v>0.29610467353658015</v>
      </c>
      <c r="P30">
        <f t="shared" si="5"/>
        <v>0.29600683322656418</v>
      </c>
      <c r="Q30">
        <f t="shared" si="5"/>
        <v>0.29710608191620852</v>
      </c>
      <c r="R30">
        <f t="shared" si="5"/>
        <v>0.29733180135324905</v>
      </c>
      <c r="S30">
        <f t="shared" si="5"/>
        <v>0.29707681849082257</v>
      </c>
      <c r="T30">
        <f t="shared" si="5"/>
        <v>0.29649412861927171</v>
      </c>
      <c r="U30">
        <f t="shared" si="5"/>
        <v>0.29675588683720144</v>
      </c>
      <c r="V30">
        <f t="shared" si="5"/>
        <v>0.2970263525231589</v>
      </c>
      <c r="W30">
        <f t="shared" si="5"/>
        <v>0.29786874868115637</v>
      </c>
      <c r="X30">
        <f t="shared" si="5"/>
        <v>0.29780960404380791</v>
      </c>
      <c r="Y30">
        <f t="shared" si="5"/>
        <v>0.29749978954457446</v>
      </c>
      <c r="Z30">
        <f t="shared" si="5"/>
        <v>0.29807368775235532</v>
      </c>
      <c r="AA30">
        <f t="shared" si="5"/>
        <v>0.29808338937457968</v>
      </c>
      <c r="AB30">
        <f t="shared" si="5"/>
        <v>0.29777217318200927</v>
      </c>
      <c r="AC30">
        <f t="shared" si="5"/>
        <v>0.29823086943732402</v>
      </c>
      <c r="AD30">
        <f t="shared" si="5"/>
        <v>0.29839217497166365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Disease prevalence</vt:lpstr>
      <vt:lpstr>Age distribution</vt:lpstr>
      <vt:lpstr>Risk factor distributions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</dc:creator>
  <cp:lastModifiedBy>RAV</cp:lastModifiedBy>
  <dcterms:created xsi:type="dcterms:W3CDTF">2015-06-27T04:34:15Z</dcterms:created>
  <dcterms:modified xsi:type="dcterms:W3CDTF">2015-07-03T05:22:41Z</dcterms:modified>
</cp:coreProperties>
</file>